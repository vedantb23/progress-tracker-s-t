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adaniltd-my.sharepoint.com/personal/30216709_adani_com/Documents/Desktop/ISM Intern Vedant/iron ore mine projects/Taldih-barsuan/Progress tracker,bar chart/"/>
    </mc:Choice>
  </mc:AlternateContent>
  <xr:revisionPtr revIDLastSave="1624" documentId="11_F25DC773A252ABDACC1048E9211E73A25BDE58ED" xr6:coauthVersionLast="47" xr6:coauthVersionMax="47" xr10:uidLastSave="{05D0CB35-B42F-4800-AB6A-DE97656A8C34}"/>
  <bookViews>
    <workbookView xWindow="-120" yWindow="-120" windowWidth="20730" windowHeight="11040" activeTab="3" xr2:uid="{00000000-000D-0000-FFFF-FFFF00000000}"/>
  </bookViews>
  <sheets>
    <sheet name="S&amp;T_Overall" sheetId="6" r:id="rId1"/>
    <sheet name="Indoor_Works" sheetId="3" r:id="rId2"/>
    <sheet name="Outdoor_Works" sheetId="1" r:id="rId3"/>
    <sheet name="Cables " sheetId="2" r:id="rId4"/>
    <sheet name="Telecomm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E3" i="6"/>
  <c r="C6" i="6"/>
  <c r="C4" i="6"/>
  <c r="C3" i="6"/>
  <c r="J3" i="1"/>
  <c r="A1" i="5" l="1"/>
  <c r="A1" i="2"/>
  <c r="A1" i="1"/>
  <c r="A1" i="3"/>
  <c r="D1" i="5"/>
  <c r="D1" i="2"/>
  <c r="D1" i="1"/>
  <c r="D1" i="3"/>
  <c r="G6" i="1" l="1"/>
  <c r="J6" i="1" s="1"/>
  <c r="I18" i="5"/>
  <c r="I19" i="2"/>
  <c r="I27" i="1"/>
  <c r="I18" i="3"/>
  <c r="F10" i="2" l="1"/>
  <c r="G3" i="2"/>
  <c r="J3" i="2" s="1"/>
  <c r="G4" i="2"/>
  <c r="J4" i="2" s="1"/>
  <c r="G5" i="2"/>
  <c r="J5" i="2" s="1"/>
  <c r="G6" i="2"/>
  <c r="J6" i="2" s="1"/>
  <c r="G7" i="2"/>
  <c r="J7" i="2" s="1"/>
  <c r="G8" i="2"/>
  <c r="J8" i="2" s="1"/>
  <c r="G9" i="2"/>
  <c r="J9" i="2" s="1"/>
  <c r="G10" i="2"/>
  <c r="J10" i="2" s="1"/>
  <c r="G11" i="2"/>
  <c r="J11" i="2" s="1"/>
  <c r="G12" i="2"/>
  <c r="J12" i="2" s="1"/>
  <c r="G13" i="2"/>
  <c r="J13" i="2" s="1"/>
  <c r="G14" i="2"/>
  <c r="J14" i="2" s="1"/>
  <c r="G15" i="2"/>
  <c r="J15" i="2" s="1"/>
  <c r="G16" i="2"/>
  <c r="J16" i="2" s="1"/>
  <c r="G17" i="2"/>
  <c r="J17" i="2" s="1"/>
  <c r="G18" i="2"/>
  <c r="J18" i="2" s="1"/>
  <c r="F3" i="2"/>
  <c r="F4" i="2"/>
  <c r="F5" i="2"/>
  <c r="F6" i="2"/>
  <c r="F7" i="2"/>
  <c r="F8" i="2"/>
  <c r="F9" i="2"/>
  <c r="F11" i="2"/>
  <c r="F12" i="2"/>
  <c r="F13" i="2"/>
  <c r="F14" i="2"/>
  <c r="F15" i="2"/>
  <c r="F16" i="2"/>
  <c r="F17" i="2"/>
  <c r="F18" i="2"/>
  <c r="G3" i="1"/>
  <c r="G4" i="1"/>
  <c r="J4" i="1" s="1"/>
  <c r="G5" i="1"/>
  <c r="J5" i="1" s="1"/>
  <c r="G7" i="1"/>
  <c r="J7" i="1" s="1"/>
  <c r="G8" i="1"/>
  <c r="J8" i="1" s="1"/>
  <c r="G9" i="1"/>
  <c r="J9" i="1" s="1"/>
  <c r="G10" i="1"/>
  <c r="J10" i="1" s="1"/>
  <c r="G11" i="1"/>
  <c r="J11" i="1" s="1"/>
  <c r="G12" i="1"/>
  <c r="J12" i="1" s="1"/>
  <c r="G13" i="1"/>
  <c r="J13" i="1" s="1"/>
  <c r="G14" i="1"/>
  <c r="J14" i="1" s="1"/>
  <c r="G15" i="1"/>
  <c r="J15" i="1" s="1"/>
  <c r="G16" i="1"/>
  <c r="J16" i="1" s="1"/>
  <c r="G17" i="1"/>
  <c r="J17" i="1" s="1"/>
  <c r="G18" i="1"/>
  <c r="J18" i="1" s="1"/>
  <c r="G19" i="1"/>
  <c r="J19" i="1" s="1"/>
  <c r="G20" i="1"/>
  <c r="J20" i="1" s="1"/>
  <c r="G21" i="1"/>
  <c r="J21" i="1" s="1"/>
  <c r="G22" i="1"/>
  <c r="J22" i="1" s="1"/>
  <c r="G23" i="1"/>
  <c r="J23" i="1" s="1"/>
  <c r="G24" i="1"/>
  <c r="J24" i="1" s="1"/>
  <c r="G25" i="1"/>
  <c r="J25" i="1" s="1"/>
  <c r="G26" i="1"/>
  <c r="J26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G3" i="3"/>
  <c r="J3" i="3" s="1"/>
  <c r="G4" i="3"/>
  <c r="J4" i="3" s="1"/>
  <c r="G5" i="3"/>
  <c r="J5" i="3" s="1"/>
  <c r="G6" i="3"/>
  <c r="J6" i="3" s="1"/>
  <c r="G7" i="3"/>
  <c r="J7" i="3" s="1"/>
  <c r="G8" i="3"/>
  <c r="J8" i="3" s="1"/>
  <c r="G9" i="3"/>
  <c r="J9" i="3" s="1"/>
  <c r="G10" i="3"/>
  <c r="J10" i="3" s="1"/>
  <c r="G11" i="3"/>
  <c r="J11" i="3" s="1"/>
  <c r="G12" i="3"/>
  <c r="J12" i="3" s="1"/>
  <c r="G13" i="3"/>
  <c r="J13" i="3" s="1"/>
  <c r="G14" i="3"/>
  <c r="J14" i="3" s="1"/>
  <c r="G15" i="3"/>
  <c r="J15" i="3" s="1"/>
  <c r="G16" i="3"/>
  <c r="J16" i="3" s="1"/>
  <c r="G17" i="3"/>
  <c r="J17" i="3" s="1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G4" i="5"/>
  <c r="J4" i="5" s="1"/>
  <c r="G3" i="5"/>
  <c r="J3" i="5" s="1"/>
  <c r="G5" i="5"/>
  <c r="J5" i="5" s="1"/>
  <c r="G6" i="5"/>
  <c r="J6" i="5" s="1"/>
  <c r="G7" i="5"/>
  <c r="J7" i="5" s="1"/>
  <c r="G8" i="5"/>
  <c r="J8" i="5" s="1"/>
  <c r="G9" i="5"/>
  <c r="J9" i="5" s="1"/>
  <c r="G10" i="5"/>
  <c r="J10" i="5" s="1"/>
  <c r="G11" i="5"/>
  <c r="J11" i="5" s="1"/>
  <c r="G12" i="5"/>
  <c r="J12" i="5" s="1"/>
  <c r="G13" i="5"/>
  <c r="J13" i="5" s="1"/>
  <c r="G14" i="5"/>
  <c r="J14" i="5" s="1"/>
  <c r="G15" i="5"/>
  <c r="J15" i="5" s="1"/>
  <c r="G16" i="5"/>
  <c r="J16" i="5" s="1"/>
  <c r="G17" i="5"/>
  <c r="J17" i="5" s="1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J19" i="2" l="1"/>
  <c r="J27" i="1"/>
  <c r="E4" i="6" s="1"/>
  <c r="J18" i="3"/>
  <c r="J18" i="5"/>
  <c r="E6" i="6" s="1"/>
  <c r="C5" i="6" l="1"/>
  <c r="E5" i="6" s="1"/>
  <c r="E7" i="6" s="1"/>
</calcChain>
</file>

<file path=xl/sharedStrings.xml><?xml version="1.0" encoding="utf-8"?>
<sst xmlns="http://schemas.openxmlformats.org/spreadsheetml/2006/main" count="196" uniqueCount="107">
  <si>
    <t>Daily Progress Report-Barsuan Siding(S&amp;T)</t>
  </si>
  <si>
    <t>Date:2026</t>
  </si>
  <si>
    <t>S.No</t>
  </si>
  <si>
    <t>Description</t>
  </si>
  <si>
    <t>Progress(%)</t>
  </si>
  <si>
    <t>Weightage</t>
  </si>
  <si>
    <t>Earned Progress</t>
  </si>
  <si>
    <t>Indoor Work</t>
  </si>
  <si>
    <t>Outdoor Work</t>
  </si>
  <si>
    <t>Cables</t>
  </si>
  <si>
    <t xml:space="preserve">Telecommunication </t>
  </si>
  <si>
    <t xml:space="preserve">Overall </t>
  </si>
  <si>
    <t xml:space="preserve">S.No </t>
  </si>
  <si>
    <t>Description of Item</t>
  </si>
  <si>
    <t>UOM</t>
  </si>
  <si>
    <t>Quantity</t>
  </si>
  <si>
    <t>Current
 Progress</t>
  </si>
  <si>
    <t>Balance 
Quantity</t>
  </si>
  <si>
    <t>% Progress</t>
  </si>
  <si>
    <t>Scope Progress</t>
  </si>
  <si>
    <t xml:space="preserve">Weightage 
factor </t>
  </si>
  <si>
    <t>Earned 
Progress</t>
  </si>
  <si>
    <t>VDU-65 Inch</t>
  </si>
  <si>
    <t>Per VDU</t>
  </si>
  <si>
    <t xml:space="preserve">Industrial Grade PC </t>
  </si>
  <si>
    <t>Per PC</t>
  </si>
  <si>
    <t>UPS(3  KVA)</t>
  </si>
  <si>
    <t>Numbers</t>
  </si>
  <si>
    <t>Relay/Q series Relay Rack</t>
  </si>
  <si>
    <t>MS(CTR)6mm Sheet</t>
  </si>
  <si>
    <t xml:space="preserve">RTU-128 Digital &amp; 16 Analog pins </t>
  </si>
  <si>
    <t>Set</t>
  </si>
  <si>
    <t>Data logger</t>
  </si>
  <si>
    <t>QN1,QNA1,QL1,QSPA1, QTA2,QNA1k Relays</t>
  </si>
  <si>
    <t>Contactor Uni (QBCA1 Type)</t>
  </si>
  <si>
    <t>SMPS based IPS(Scheme 5A-IPS)</t>
  </si>
  <si>
    <t>bare copper(25x2 mm)</t>
  </si>
  <si>
    <t>Metre</t>
  </si>
  <si>
    <t>Cable  route tracer with GPS enable</t>
  </si>
  <si>
    <t>SPD(Class B,C)</t>
  </si>
  <si>
    <t xml:space="preserve">Tool kit for MSDAC </t>
  </si>
  <si>
    <t>19"relay rack/Composite/QSeries Relay Rack</t>
  </si>
  <si>
    <t>Total</t>
  </si>
  <si>
    <t>Current 
Progress</t>
  </si>
  <si>
    <t xml:space="preserve">% Progress </t>
  </si>
  <si>
    <t xml:space="preserve">MSDAC-29 DP &amp; 26 Track Section </t>
  </si>
  <si>
    <t>Per DP</t>
  </si>
  <si>
    <t>CLS (Two Aspect)</t>
  </si>
  <si>
    <t>CLS (Three Aspect)</t>
  </si>
  <si>
    <t>CLS (Four Aspect)</t>
  </si>
  <si>
    <t>Cast Iron Signal  base  140 mm  dia.</t>
  </si>
  <si>
    <t>Tubular Post for CLS 5.5M</t>
  </si>
  <si>
    <t>Ladder 5.5 M for CLS</t>
  </si>
  <si>
    <t>Multi lamp route indicator(1-9)</t>
  </si>
  <si>
    <t xml:space="preserve">Shunt Signal Position Light </t>
  </si>
  <si>
    <t>Shunt Signal dependent type</t>
  </si>
  <si>
    <t>Metallic A Marker</t>
  </si>
  <si>
    <t>Red aspect(LED)</t>
  </si>
  <si>
    <t xml:space="preserve">Yellow aspect(LED) </t>
  </si>
  <si>
    <t xml:space="preserve">Green aspect(LED) </t>
  </si>
  <si>
    <t>Shunt (LED)</t>
  </si>
  <si>
    <t>Electric  key  transmitter-EKT/RKT</t>
  </si>
  <si>
    <t>Earth   Electrodes</t>
  </si>
  <si>
    <t>Electrically operated lifting barrier</t>
  </si>
  <si>
    <t>Sliding Boom Gate</t>
  </si>
  <si>
    <t>Full Apparatus Case with foundation</t>
  </si>
  <si>
    <t>Electric point machine</t>
  </si>
  <si>
    <t>C.T Box (Aluminium/Wago  type)</t>
  </si>
  <si>
    <t>3 HDPE pipe-Micro Tunnelling</t>
  </si>
  <si>
    <t>4 HDPE pipe-Micro Tunnelling</t>
  </si>
  <si>
    <t>Polyolefin Cable Channel with cover</t>
  </si>
  <si>
    <t>Outdoor Signalling cable-6 Corex1.5 sq mm</t>
  </si>
  <si>
    <t>Kilometre</t>
  </si>
  <si>
    <t>Outdoor Signalling cable-12 Corex1.5 sq mm</t>
  </si>
  <si>
    <t>Aluminium Power Cable-2 Corex25 sq mm</t>
  </si>
  <si>
    <t>Underground jelly filled-6 Quad Cable</t>
  </si>
  <si>
    <t>24 Fiber Armoured OFC</t>
  </si>
  <si>
    <t>HDPE pipe-OD/ID 40mm/33mm</t>
  </si>
  <si>
    <t>Steel Apparatus case Full height</t>
  </si>
  <si>
    <t>6 Core Armoured Mono mode OFC cable</t>
  </si>
  <si>
    <t>PVC Insulated copper Indoor Cable 60 Core</t>
  </si>
  <si>
    <t>S&amp;T  Cables  (Signal/Quad/Power)</t>
  </si>
  <si>
    <t>Existing working cables-tracing &amp; opening</t>
  </si>
  <si>
    <t>Excavation of trench (Depth 1.0m, Width 0.3m)</t>
  </si>
  <si>
    <t>Transportation of S&amp;T Cables</t>
  </si>
  <si>
    <t>Drum-Km</t>
  </si>
  <si>
    <t>Excavation of trench in all kinds of soils</t>
  </si>
  <si>
    <t>Transportation,loading/unloading -OFC</t>
  </si>
  <si>
    <t>Scope</t>
  </si>
  <si>
    <t>Current
Progress</t>
  </si>
  <si>
    <t>Balance
Quantity</t>
  </si>
  <si>
    <t xml:space="preserve">200AH- VRLA Secondary Cell </t>
  </si>
  <si>
    <t>Managed SDH (STM-1 Add/Drop MUX, 21E1s)</t>
  </si>
  <si>
    <t>2MB Primary Digital Drop multiplexer-E&amp;M (4 Nos), FXO (2 Nos),FXS (2 Nos)</t>
  </si>
  <si>
    <t xml:space="preserve">Master Telephone Unit for LC  Gate </t>
  </si>
  <si>
    <t xml:space="preserve">Fibre Distribution Management  system(FDMS)for 48 Fiber </t>
  </si>
  <si>
    <t>GPS synchronized digitaL clock</t>
  </si>
  <si>
    <t>Industrial Grade 4 Port Router</t>
  </si>
  <si>
    <t>Vehicle for loading &amp;unloading of material</t>
  </si>
  <si>
    <t>Truck of 1 Ton capacity (24hours)</t>
  </si>
  <si>
    <t>Vehicle- Day</t>
  </si>
  <si>
    <t>Laying of OFC/Power cable/CAT-6 cable/PA Cable/Data cable</t>
  </si>
  <si>
    <t>Maintenance Console-MSDAC</t>
  </si>
  <si>
    <t>Bullet  Type  IP  Color  camera</t>
  </si>
  <si>
    <t>Emergency Socket Box on Rail Post</t>
  </si>
  <si>
    <t>Managed SDH (STM-1 MUX)</t>
  </si>
  <si>
    <t>2 Mb Programmable Primary Digital drop insert MUX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</si>
</sst>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Dani regular"/>
    </font>
    <font>
      <sz val="11"/>
      <name val="ADani regula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9" fontId="0" fillId="0" borderId="0" xfId="1" applyFont="1"/>
    <xf numFmtId="0" fontId="0" fillId="0" borderId="0" xfId="0" applyAlignment="1">
      <alignment horizontal="left" wrapText="1"/>
    </xf>
    <xf numFmtId="9" fontId="0" fillId="0" borderId="0" xfId="1" applyFont="1" applyAlignment="1">
      <alignment horizontal="left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vertical="center"/>
    </xf>
    <xf numFmtId="9" fontId="0" fillId="0" borderId="0" xfId="1" applyFont="1" applyAlignment="1"/>
    <xf numFmtId="9" fontId="0" fillId="0" borderId="0" xfId="0" applyNumberFormat="1" applyAlignment="1">
      <alignment horizontal="left" wrapText="1"/>
    </xf>
    <xf numFmtId="164" fontId="0" fillId="0" borderId="0" xfId="0" applyNumberFormat="1" applyAlignment="1">
      <alignment horizontal="left" wrapText="1"/>
    </xf>
    <xf numFmtId="9" fontId="0" fillId="0" borderId="0" xfId="1" applyFont="1" applyAlignment="1">
      <alignment horizontal="right" wrapText="1"/>
    </xf>
    <xf numFmtId="9" fontId="1" fillId="0" borderId="0" xfId="0" applyNumberFormat="1" applyFont="1" applyAlignment="1">
      <alignment horizontal="left" wrapText="1"/>
    </xf>
    <xf numFmtId="0" fontId="0" fillId="0" borderId="0" xfId="0" applyAlignment="1">
      <alignment vertical="top" wrapText="1"/>
    </xf>
    <xf numFmtId="0" fontId="5" fillId="0" borderId="0" xfId="0" applyFont="1" applyAlignment="1">
      <alignment horizontal="left" vertical="top" wrapText="1"/>
    </xf>
    <xf numFmtId="9" fontId="5" fillId="0" borderId="0" xfId="1" applyFont="1" applyAlignment="1">
      <alignment horizontal="left" vertical="top" wrapText="1"/>
    </xf>
    <xf numFmtId="164" fontId="5" fillId="0" borderId="0" xfId="1" applyNumberFormat="1" applyFont="1" applyAlignment="1">
      <alignment horizontal="left" vertical="top" wrapText="1"/>
    </xf>
    <xf numFmtId="9" fontId="5" fillId="0" borderId="0" xfId="0" applyNumberFormat="1" applyFont="1" applyAlignment="1">
      <alignment horizontal="left" vertical="top" wrapText="1"/>
    </xf>
    <xf numFmtId="9" fontId="0" fillId="0" borderId="0" xfId="1" applyFont="1" applyAlignment="1">
      <alignment vertical="top" wrapText="1"/>
    </xf>
    <xf numFmtId="0" fontId="0" fillId="2" borderId="0" xfId="0" applyFill="1" applyAlignment="1">
      <alignment vertical="center"/>
    </xf>
    <xf numFmtId="0" fontId="0" fillId="2" borderId="0" xfId="0" applyFill="1" applyAlignment="1">
      <alignment vertical="center" wrapText="1"/>
    </xf>
    <xf numFmtId="9" fontId="0" fillId="2" borderId="0" xfId="1" applyFont="1" applyFill="1" applyAlignment="1">
      <alignment vertical="center" wrapText="1"/>
    </xf>
    <xf numFmtId="0" fontId="6" fillId="0" borderId="0" xfId="0" applyFont="1" applyAlignment="1">
      <alignment vertical="top" wrapText="1"/>
    </xf>
    <xf numFmtId="9" fontId="6" fillId="0" borderId="0" xfId="1" applyFont="1" applyAlignment="1">
      <alignment vertical="top" wrapText="1"/>
    </xf>
    <xf numFmtId="9" fontId="0" fillId="2" borderId="0" xfId="1" applyFont="1" applyFill="1" applyAlignment="1">
      <alignment vertical="center"/>
    </xf>
    <xf numFmtId="0" fontId="0" fillId="2" borderId="0" xfId="0" applyFill="1" applyAlignment="1">
      <alignment horizontal="center"/>
    </xf>
    <xf numFmtId="9" fontId="0" fillId="2" borderId="0" xfId="1" applyFont="1" applyFill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9" fontId="5" fillId="0" borderId="0" xfId="1" applyFont="1" applyAlignment="1">
      <alignment horizontal="center"/>
    </xf>
    <xf numFmtId="164" fontId="5" fillId="0" borderId="0" xfId="1" applyNumberFormat="1" applyFont="1" applyAlignment="1">
      <alignment horizontal="center"/>
    </xf>
    <xf numFmtId="10" fontId="5" fillId="0" borderId="0" xfId="0" applyNumberFormat="1" applyFont="1" applyAlignment="1">
      <alignment horizontal="center"/>
    </xf>
    <xf numFmtId="0" fontId="8" fillId="0" borderId="0" xfId="0" applyFont="1"/>
  </cellXfs>
  <cellStyles count="2">
    <cellStyle name="Normal" xfId="0" builtinId="0"/>
    <cellStyle name="Percent" xfId="1" builtinId="5"/>
  </cellStyles>
  <dxfs count="96">
    <dxf>
      <numFmt numFmtId="13" formatCode="0%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164" formatCode="0.00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7"/>
        </patternFill>
      </fill>
      <alignment horizontal="general" vertical="center" textRotation="0" indent="0" justifyLastLine="0" shrinkToFit="0" readingOrder="0"/>
    </dxf>
    <dxf>
      <numFmt numFmtId="164" formatCode="0.000%"/>
      <alignment horizontal="left" vertical="bottom" textRotation="0" wrapText="1" indent="0" justifyLastLine="0" shrinkToFit="0" readingOrder="0"/>
    </dxf>
    <dxf>
      <numFmt numFmtId="164" formatCode="0.00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7"/>
        </patternFill>
      </fill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numFmt numFmtId="13" formatCode="0%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numFmt numFmtId="164" formatCode="0.00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numFmt numFmtId="13" formatCode="0%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numFmt numFmtId="13" formatCode="0%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numFmt numFmtId="13" formatCode="0%"/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numFmt numFmtId="0" formatCode="General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left"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ADani regular"/>
        <scheme val="none"/>
      </font>
      <alignment vertical="top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numFmt numFmtId="164" formatCode="0.000%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Dani regular"/>
        <scheme val="none"/>
      </font>
      <alignment horizontal="center" vertical="bottom" textRotation="0" wrapText="0" indent="0" justifyLastLine="0" shrinkToFit="0" readingOrder="0"/>
    </dxf>
    <dxf>
      <fill>
        <patternFill patternType="solid">
          <fgColor indexed="64"/>
          <bgColor theme="7"/>
        </patternFill>
      </fill>
      <alignment horizontal="center" vertical="bottom" textRotation="0" wrapText="0" indent="0" justifyLastLine="0" shrinkToFit="0" readingOrder="0"/>
    </dxf>
    <dxf>
      <numFmt numFmtId="164" formatCode="0.000%"/>
      <alignment horizontal="left" vertical="bottom" textRotation="0" wrapText="1" indent="0" justifyLastLine="0" shrinkToFit="0" readingOrder="0"/>
    </dxf>
    <dxf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3" formatCode="0%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13" formatCode="0%"/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right" vertical="bottom" textRotation="0" wrapText="1" indent="0" justifyLastLine="0" shrinkToFit="0" readingOrder="0"/>
    </dxf>
    <dxf>
      <numFmt numFmtId="13" formatCode="0%"/>
      <alignment horizontal="left" vertical="bottom" textRotation="0" wrapText="1" indent="0" justifyLastLine="0" shrinkToFit="0" readingOrder="0"/>
    </dxf>
    <dxf>
      <alignment horizontal="righ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numFmt numFmtId="0" formatCode="General"/>
      <alignment horizontal="left" vertical="bottom" textRotation="0" wrapText="1" indent="0" justifyLastLine="0" shrinkToFit="0" readingOrder="0"/>
    </dxf>
    <dxf>
      <alignment horizontal="left" vertical="bottom" textRotation="0" wrapText="1" indent="0" justifyLastLine="0" shrinkToFit="0" readingOrder="0"/>
    </dxf>
    <dxf>
      <fill>
        <patternFill patternType="solid">
          <fgColor indexed="64"/>
          <bgColor theme="7"/>
        </patternFill>
      </fill>
      <alignment horizontal="general" vertical="center" textRotation="0" indent="0" justifyLastLine="0" shrinkToFit="0" readingOrder="0"/>
    </dxf>
  </dxfs>
  <tableStyles count="0" defaultTableStyle="TableStyleMedium2" defaultPivotStyle="PivotStyleLight16"/>
  <colors>
    <mruColors>
      <color rgb="FF8EF2A6"/>
      <color rgb="FF75EF92"/>
      <color rgb="FF5EEC80"/>
      <color rgb="FF34E038"/>
      <color rgb="FF189C1B"/>
      <color rgb="FF00F6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S&amp;T</a:t>
            </a:r>
            <a:r>
              <a:rPr lang="en-US" sz="1200" baseline="0"/>
              <a:t> Work Progress (%)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'S&amp;T_Overall'!$B$3:$B$6</c:f>
              <c:strCache>
                <c:ptCount val="4"/>
                <c:pt idx="0">
                  <c:v>Indoor Work</c:v>
                </c:pt>
                <c:pt idx="1">
                  <c:v>Outdoor Work</c:v>
                </c:pt>
                <c:pt idx="2">
                  <c:v>Cables</c:v>
                </c:pt>
                <c:pt idx="3">
                  <c:v>Telecommunication </c:v>
                </c:pt>
              </c:strCache>
            </c:strRef>
          </c:cat>
          <c:val>
            <c:numRef>
              <c:f>'S&amp;T_Overall'!$C$3:$C$6</c:f>
              <c:numCache>
                <c:formatCode>0.00%</c:formatCode>
                <c:ptCount val="4"/>
                <c:pt idx="0">
                  <c:v>0.31732409812409806</c:v>
                </c:pt>
                <c:pt idx="1">
                  <c:v>0.45754374950212001</c:v>
                </c:pt>
                <c:pt idx="2">
                  <c:v>0.27613048637636872</c:v>
                </c:pt>
                <c:pt idx="3">
                  <c:v>0.13492592592592592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4-4AF1-94B2-088D283351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365713936"/>
        <c:axId val="1365714896"/>
      </c:barChart>
      <c:catAx>
        <c:axId val="136571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14896"/>
        <c:crosses val="autoZero"/>
        <c:auto val="1"/>
        <c:lblAlgn val="ctr"/>
        <c:lblOffset val="100"/>
        <c:noMultiLvlLbl val="0"/>
      </c:catAx>
      <c:valAx>
        <c:axId val="1365714896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13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Weightage</a:t>
            </a:r>
            <a:r>
              <a:rPr lang="en-US" sz="1200" baseline="0"/>
              <a:t> </a:t>
            </a:r>
            <a:r>
              <a:rPr lang="en-US" sz="1200"/>
              <a:t>Distribution</a:t>
            </a:r>
            <a:r>
              <a:rPr lang="en-US" sz="1200" baseline="0"/>
              <a:t> 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25-416B-9A75-E41B4607BFD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25-416B-9A75-E41B4607BFD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25-416B-9A75-E41B4607BFD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25-416B-9A75-E41B4607BFD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'S&amp;T_Overall'!$B$3:$B$6</c:f>
              <c:strCache>
                <c:ptCount val="4"/>
                <c:pt idx="0">
                  <c:v>Indoor Work</c:v>
                </c:pt>
                <c:pt idx="1">
                  <c:v>Outdoor Work</c:v>
                </c:pt>
                <c:pt idx="2">
                  <c:v>Cables</c:v>
                </c:pt>
                <c:pt idx="3">
                  <c:v>Telecommunication </c:v>
                </c:pt>
              </c:strCache>
            </c:strRef>
          </c:cat>
          <c:val>
            <c:numRef>
              <c:f>'S&amp;T_Overall'!$D$3:$D$6</c:f>
              <c:numCache>
                <c:formatCode>0%</c:formatCode>
                <c:ptCount val="4"/>
                <c:pt idx="0">
                  <c:v>0.4</c:v>
                </c:pt>
                <c:pt idx="1">
                  <c:v>0.3</c:v>
                </c:pt>
                <c:pt idx="2">
                  <c:v>0.2</c:v>
                </c:pt>
                <c:pt idx="3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57-4510-85A7-B2387CAB87F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Indoor Work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Executed Work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43F04B2-984B-49E3-94A6-E72364711AB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315-447C-92F5-DA41EBB0D8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606D0EB-4543-4E81-B203-FD10870B26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315-447C-92F5-DA41EBB0D81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737E579-6941-4EBF-A8FF-BB3698FD7D0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315-447C-92F5-DA41EBB0D8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FA17AF7-9321-4898-9341-81EE9FB0E04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315-447C-92F5-DA41EBB0D81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D43AED5-499D-4E7D-BB03-72D0338E997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315-447C-92F5-DA41EBB0D8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3F97CBB-73BB-4E23-86F8-4B49305C58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315-447C-92F5-DA41EBB0D81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D14086C-F7E4-46C3-B589-19ECE2C7F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315-447C-92F5-DA41EBB0D81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4D7A9F9-F823-439C-86D6-19E5347FD2E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315-447C-92F5-DA41EBB0D81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091D194-B028-425B-8B0E-B522869128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315-447C-92F5-DA41EBB0D81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16B7857C-4ABE-4E0A-A22A-144170A2D5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315-447C-92F5-DA41EBB0D81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9AEF295C-93CE-45FD-9D81-9801C5EC42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9315-447C-92F5-DA41EBB0D81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55E975A2-99D8-4D06-B37D-D1EA63DF0B2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9315-447C-92F5-DA41EBB0D81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33C1FBC4-34BE-4CC2-BC6F-F756879E2C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9315-447C-92F5-DA41EBB0D81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65B03CD-3785-46A4-84ED-6DCD4B434C1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9315-447C-92F5-DA41EBB0D81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165CD4D-1B8E-49E8-BB1D-F9BD20D817A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9315-447C-92F5-DA41EBB0D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Indoor_Works!$B$3:$B$17</c:f>
              <c:strCache>
                <c:ptCount val="15"/>
                <c:pt idx="0">
                  <c:v>VDU-65 Inch</c:v>
                </c:pt>
                <c:pt idx="1">
                  <c:v>Industrial Grade PC </c:v>
                </c:pt>
                <c:pt idx="2">
                  <c:v>UPS(3  KVA)</c:v>
                </c:pt>
                <c:pt idx="3">
                  <c:v>Relay/Q series Relay Rack</c:v>
                </c:pt>
                <c:pt idx="4">
                  <c:v>MS(CTR)6mm Sheet</c:v>
                </c:pt>
                <c:pt idx="5">
                  <c:v>RTU-128 Digital &amp; 16 Analog pins </c:v>
                </c:pt>
                <c:pt idx="6">
                  <c:v>Data logger</c:v>
                </c:pt>
                <c:pt idx="7">
                  <c:v>QN1,QNA1,QL1,QSPA1, QTA2,QNA1k Relays</c:v>
                </c:pt>
                <c:pt idx="8">
                  <c:v>Contactor Uni (QBCA1 Type)</c:v>
                </c:pt>
                <c:pt idx="9">
                  <c:v>SMPS based IPS(Scheme 5A-IPS)</c:v>
                </c:pt>
                <c:pt idx="10">
                  <c:v>bare copper(25x2 mm)</c:v>
                </c:pt>
                <c:pt idx="11">
                  <c:v>Cable  route tracer with GPS enable</c:v>
                </c:pt>
                <c:pt idx="12">
                  <c:v>SPD(Class B,C)</c:v>
                </c:pt>
                <c:pt idx="13">
                  <c:v>Tool kit for MSDAC </c:v>
                </c:pt>
                <c:pt idx="14">
                  <c:v>19"relay rack/Composite/QSeries Relay Rack</c:v>
                </c:pt>
              </c:strCache>
            </c:strRef>
          </c:cat>
          <c:val>
            <c:numRef>
              <c:f>Indoor_Works!$G$3:$G$17</c:f>
              <c:numCache>
                <c:formatCode>0%</c:formatCode>
                <c:ptCount val="15"/>
                <c:pt idx="0">
                  <c:v>0.5</c:v>
                </c:pt>
                <c:pt idx="1">
                  <c:v>0.5</c:v>
                </c:pt>
                <c:pt idx="2">
                  <c:v>0</c:v>
                </c:pt>
                <c:pt idx="3">
                  <c:v>0.76</c:v>
                </c:pt>
                <c:pt idx="4">
                  <c:v>0.8</c:v>
                </c:pt>
                <c:pt idx="5">
                  <c:v>0</c:v>
                </c:pt>
                <c:pt idx="6">
                  <c:v>0.66666666666666663</c:v>
                </c:pt>
                <c:pt idx="7">
                  <c:v>0.35511363636363635</c:v>
                </c:pt>
                <c:pt idx="8">
                  <c:v>0.29166666666666669</c:v>
                </c:pt>
                <c:pt idx="9">
                  <c:v>0</c:v>
                </c:pt>
                <c:pt idx="10">
                  <c:v>0.5357142857142857</c:v>
                </c:pt>
                <c:pt idx="11">
                  <c:v>0</c:v>
                </c:pt>
                <c:pt idx="12">
                  <c:v>0.44444444444444442</c:v>
                </c:pt>
                <c:pt idx="13">
                  <c:v>1</c:v>
                </c:pt>
                <c:pt idx="14">
                  <c:v>0.08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Indoor_Works!$E$3:$E$17</c15:f>
                <c15:dlblRangeCache>
                  <c:ptCount val="15"/>
                  <c:pt idx="0">
                    <c:v>1</c:v>
                  </c:pt>
                  <c:pt idx="1">
                    <c:v>1</c:v>
                  </c:pt>
                  <c:pt idx="2">
                    <c:v>0</c:v>
                  </c:pt>
                  <c:pt idx="3">
                    <c:v>19</c:v>
                  </c:pt>
                  <c:pt idx="4">
                    <c:v>12</c:v>
                  </c:pt>
                  <c:pt idx="5">
                    <c:v>0</c:v>
                  </c:pt>
                  <c:pt idx="6">
                    <c:v>2</c:v>
                  </c:pt>
                  <c:pt idx="7">
                    <c:v>500</c:v>
                  </c:pt>
                  <c:pt idx="8">
                    <c:v>35</c:v>
                  </c:pt>
                  <c:pt idx="9">
                    <c:v>0</c:v>
                  </c:pt>
                  <c:pt idx="10">
                    <c:v>300</c:v>
                  </c:pt>
                  <c:pt idx="11">
                    <c:v>0</c:v>
                  </c:pt>
                  <c:pt idx="12">
                    <c:v>16</c:v>
                  </c:pt>
                  <c:pt idx="13">
                    <c:v>2</c:v>
                  </c:pt>
                  <c:pt idx="14">
                    <c:v>2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9315-447C-92F5-DA41EBB0D815}"/>
            </c:ext>
          </c:extLst>
        </c:ser>
        <c:ser>
          <c:idx val="1"/>
          <c:order val="1"/>
          <c:tx>
            <c:v>Scope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5BCC8E1-123B-4ACF-BD28-E45E5291CC1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315-447C-92F5-DA41EBB0D81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8FA3005-8B3D-4581-A0D6-C5FC4C6E52F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315-447C-92F5-DA41EBB0D81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625160-D30E-47F6-93AC-393FEA4710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315-447C-92F5-DA41EBB0D81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A1BB024E-2916-44D4-9A97-0D13061139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315-447C-92F5-DA41EBB0D81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49CFE7A-C478-4FCF-85E9-6CFA5C2173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315-447C-92F5-DA41EBB0D81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F640597-58E2-4130-9291-0CC309AB98E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315-447C-92F5-DA41EBB0D81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A16DB602-D49E-4C37-8CD5-96DFEA4A0A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315-447C-92F5-DA41EBB0D81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A9DA2710-A2B1-40A8-982F-7B59CA83ECC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315-447C-92F5-DA41EBB0D81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AE212524-DAE3-4EB2-896E-7E770120A2D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315-447C-92F5-DA41EBB0D81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E8037595-D331-4E70-AF6C-E008BE7229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315-447C-92F5-DA41EBB0D81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807F35E-4423-4AAC-91FB-8F82721E837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315-447C-92F5-DA41EBB0D81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F56839D-0428-4557-9C99-8EE226478C0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315-447C-92F5-DA41EBB0D81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EC9E571-0A8D-4877-963C-5F02B2F2A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315-447C-92F5-DA41EBB0D81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AF898292-BEEC-4BE6-A0BB-F8554AEF4B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315-447C-92F5-DA41EBB0D81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EDEE3A3-D955-4D4A-9318-659001AEEE4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315-447C-92F5-DA41EBB0D81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Indoor_Works!$B$3:$B$17</c:f>
              <c:strCache>
                <c:ptCount val="15"/>
                <c:pt idx="0">
                  <c:v>VDU-65 Inch</c:v>
                </c:pt>
                <c:pt idx="1">
                  <c:v>Industrial Grade PC </c:v>
                </c:pt>
                <c:pt idx="2">
                  <c:v>UPS(3  KVA)</c:v>
                </c:pt>
                <c:pt idx="3">
                  <c:v>Relay/Q series Relay Rack</c:v>
                </c:pt>
                <c:pt idx="4">
                  <c:v>MS(CTR)6mm Sheet</c:v>
                </c:pt>
                <c:pt idx="5">
                  <c:v>RTU-128 Digital &amp; 16 Analog pins </c:v>
                </c:pt>
                <c:pt idx="6">
                  <c:v>Data logger</c:v>
                </c:pt>
                <c:pt idx="7">
                  <c:v>QN1,QNA1,QL1,QSPA1, QTA2,QNA1k Relays</c:v>
                </c:pt>
                <c:pt idx="8">
                  <c:v>Contactor Uni (QBCA1 Type)</c:v>
                </c:pt>
                <c:pt idx="9">
                  <c:v>SMPS based IPS(Scheme 5A-IPS)</c:v>
                </c:pt>
                <c:pt idx="10">
                  <c:v>bare copper(25x2 mm)</c:v>
                </c:pt>
                <c:pt idx="11">
                  <c:v>Cable  route tracer with GPS enable</c:v>
                </c:pt>
                <c:pt idx="12">
                  <c:v>SPD(Class B,C)</c:v>
                </c:pt>
                <c:pt idx="13">
                  <c:v>Tool kit for MSDAC </c:v>
                </c:pt>
                <c:pt idx="14">
                  <c:v>19"relay rack/Composite/QSeries Relay Rack</c:v>
                </c:pt>
              </c:strCache>
            </c:strRef>
          </c:cat>
          <c:val>
            <c:numRef>
              <c:f>Indoor_Works!$H$3:$H$17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Indoor_Works!$D$3:$D$17</c15:f>
                <c15:dlblRangeCache>
                  <c:ptCount val="15"/>
                  <c:pt idx="0">
                    <c:v>2</c:v>
                  </c:pt>
                  <c:pt idx="1">
                    <c:v>2</c:v>
                  </c:pt>
                  <c:pt idx="2">
                    <c:v>2</c:v>
                  </c:pt>
                  <c:pt idx="3">
                    <c:v>25</c:v>
                  </c:pt>
                  <c:pt idx="4">
                    <c:v>15</c:v>
                  </c:pt>
                  <c:pt idx="5">
                    <c:v>2</c:v>
                  </c:pt>
                  <c:pt idx="6">
                    <c:v>3</c:v>
                  </c:pt>
                  <c:pt idx="7">
                    <c:v>1408</c:v>
                  </c:pt>
                  <c:pt idx="8">
                    <c:v>120</c:v>
                  </c:pt>
                  <c:pt idx="9">
                    <c:v>3</c:v>
                  </c:pt>
                  <c:pt idx="10">
                    <c:v>560</c:v>
                  </c:pt>
                  <c:pt idx="11">
                    <c:v>1</c:v>
                  </c:pt>
                  <c:pt idx="12">
                    <c:v>36</c:v>
                  </c:pt>
                  <c:pt idx="13">
                    <c:v>2</c:v>
                  </c:pt>
                  <c:pt idx="14">
                    <c:v>25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9315-447C-92F5-DA41EBB0D8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3625760"/>
        <c:axId val="1043625280"/>
      </c:barChart>
      <c:catAx>
        <c:axId val="1043625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25280"/>
        <c:crosses val="autoZero"/>
        <c:auto val="1"/>
        <c:lblAlgn val="ctr"/>
        <c:lblOffset val="100"/>
        <c:noMultiLvlLbl val="0"/>
      </c:catAx>
      <c:valAx>
        <c:axId val="1043625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625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Outdoor</a:t>
            </a:r>
            <a:r>
              <a:rPr lang="en-US" baseline="0"/>
              <a:t> Work Progress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Executed Work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0CC709C-D374-42B4-8F42-6710147FE4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A4D9-4B7D-A3B4-91AA3379A6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E96DABD-974B-4C5C-9D85-459CAC7659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A4D9-4B7D-A3B4-91AA3379A6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63CD30F-19D2-473D-8CBF-BEBCDEB82C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A4D9-4B7D-A3B4-91AA3379A6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F82FBAE-5AD5-457E-8326-585CEC9FA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A4D9-4B7D-A3B4-91AA3379A6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80655B2-ED54-413C-94DD-E52B40F66CA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A4D9-4B7D-A3B4-91AA3379A6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AE9AFB6-E524-43D1-9FDA-1114091DF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A4D9-4B7D-A3B4-91AA3379A6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C3FC508-79D7-4B97-9EA5-8F904C10E70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A4D9-4B7D-A3B4-91AA3379A6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0CEA730-004E-46B2-BBCA-0ADA88748C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A4D9-4B7D-A3B4-91AA3379A6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4E1D5B66-A003-4AF2-8668-1EC3F02681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2-A4D9-4B7D-A3B4-91AA3379A6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7944A1C-120A-4168-A5A0-1FCAA047C1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3-A4D9-4B7D-A3B4-91AA3379A6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4A40450-45DE-4FAE-9FC8-0C9E52FE916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4-A4D9-4B7D-A3B4-91AA3379A6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EBFD538-EFE1-4632-9977-1ADF66513D3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5-A4D9-4B7D-A3B4-91AA3379A6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6AC7FD5-1AB7-4ECE-AF32-D4C39E5579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6-A4D9-4B7D-A3B4-91AA3379A6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8537CC2-9853-49D1-B16E-31B9A98FB60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7-A4D9-4B7D-A3B4-91AA3379A6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49AAA495-2BBB-4B8A-882B-BA19E44C71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8-A4D9-4B7D-A3B4-91AA3379A6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CC58F082-2083-410D-8696-4453B5D9B03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9-A4D9-4B7D-A3B4-91AA3379A6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4139231-D4BB-4CFF-B48A-3B04CC6F3AF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A-A4D9-4B7D-A3B4-91AA3379A6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23C5F211-8D58-4BFC-B14D-660765FDD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B-A4D9-4B7D-A3B4-91AA3379A6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EA031503-E9F2-4A66-A102-4DC083381D8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C-A4D9-4B7D-A3B4-91AA3379A6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DBA96559-5644-484B-8C27-ADBF71FFEF6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D-A4D9-4B7D-A3B4-91AA3379A6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EBB5184-AD8F-4C23-87E8-AC15F58FC5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E-A4D9-4B7D-A3B4-91AA3379A6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09F365B6-C02F-4D2A-8A80-09BC059B10A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F-A4D9-4B7D-A3B4-91AA3379A6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D09E713B-CECA-4F45-BD68-2E8B395FB2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0-A4D9-4B7D-A3B4-91AA3379A6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AF38447-71D2-4CFE-959A-717715EC2B6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31-A4D9-4B7D-A3B4-91AA3379A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Outdoor_Works!$B$3:$B$26</c:f>
              <c:strCache>
                <c:ptCount val="24"/>
                <c:pt idx="0">
                  <c:v>MSDAC-29 DP &amp; 26 Track Section </c:v>
                </c:pt>
                <c:pt idx="1">
                  <c:v>CLS (Two Aspect)</c:v>
                </c:pt>
                <c:pt idx="2">
                  <c:v>CLS (Three Aspect)</c:v>
                </c:pt>
                <c:pt idx="3">
                  <c:v>CLS (Four Aspect)</c:v>
                </c:pt>
                <c:pt idx="4">
                  <c:v>Cast Iron Signal  base  140 mm  dia.</c:v>
                </c:pt>
                <c:pt idx="5">
                  <c:v>Tubular Post for CLS 5.5M</c:v>
                </c:pt>
                <c:pt idx="6">
                  <c:v>Ladder 5.5 M for CLS</c:v>
                </c:pt>
                <c:pt idx="7">
                  <c:v>Multi lamp route indicator(1-9)</c:v>
                </c:pt>
                <c:pt idx="8">
                  <c:v>Shunt Signal Position Light </c:v>
                </c:pt>
                <c:pt idx="9">
                  <c:v>Shunt Signal dependent type</c:v>
                </c:pt>
                <c:pt idx="10">
                  <c:v>Metallic A Marker</c:v>
                </c:pt>
                <c:pt idx="11">
                  <c:v>Red aspect(LED)</c:v>
                </c:pt>
                <c:pt idx="12">
                  <c:v>Yellow aspect(LED) </c:v>
                </c:pt>
                <c:pt idx="13">
                  <c:v>Green aspect(LED) </c:v>
                </c:pt>
                <c:pt idx="14">
                  <c:v>Shunt (LED)</c:v>
                </c:pt>
                <c:pt idx="15">
                  <c:v>Electric  key  transmitter-EKT/RKT</c:v>
                </c:pt>
                <c:pt idx="16">
                  <c:v>Earth   Electrodes</c:v>
                </c:pt>
                <c:pt idx="17">
                  <c:v>Electrically operated lifting barrier</c:v>
                </c:pt>
                <c:pt idx="18">
                  <c:v>Sliding Boom Gate</c:v>
                </c:pt>
                <c:pt idx="19">
                  <c:v>Full Apparatus Case with foundation</c:v>
                </c:pt>
                <c:pt idx="20">
                  <c:v>Electric point machine</c:v>
                </c:pt>
                <c:pt idx="21">
                  <c:v>C.T Box (Aluminium/Wago  type)</c:v>
                </c:pt>
                <c:pt idx="22">
                  <c:v>3 HDPE pipe-Micro Tunnelling</c:v>
                </c:pt>
                <c:pt idx="23">
                  <c:v>4 HDPE pipe-Micro Tunnelling</c:v>
                </c:pt>
              </c:strCache>
            </c:strRef>
          </c:cat>
          <c:val>
            <c:numRef>
              <c:f>Outdoor_Works!$G$3:$G$26</c:f>
              <c:numCache>
                <c:formatCode>0%</c:formatCode>
                <c:ptCount val="24"/>
                <c:pt idx="0">
                  <c:v>0.5</c:v>
                </c:pt>
                <c:pt idx="1">
                  <c:v>0.94444444444444442</c:v>
                </c:pt>
                <c:pt idx="2">
                  <c:v>1</c:v>
                </c:pt>
                <c:pt idx="3">
                  <c:v>0.5</c:v>
                </c:pt>
                <c:pt idx="4">
                  <c:v>0.60526315789473684</c:v>
                </c:pt>
                <c:pt idx="5">
                  <c:v>0.60526315789473684</c:v>
                </c:pt>
                <c:pt idx="6">
                  <c:v>0.60526315789473684</c:v>
                </c:pt>
                <c:pt idx="7">
                  <c:v>1</c:v>
                </c:pt>
                <c:pt idx="8">
                  <c:v>0.46153846153846156</c:v>
                </c:pt>
                <c:pt idx="9">
                  <c:v>0.4</c:v>
                </c:pt>
                <c:pt idx="10">
                  <c:v>0.33333333333333331</c:v>
                </c:pt>
                <c:pt idx="11">
                  <c:v>0.57499999999999996</c:v>
                </c:pt>
                <c:pt idx="12">
                  <c:v>0.08</c:v>
                </c:pt>
                <c:pt idx="13">
                  <c:v>0.75</c:v>
                </c:pt>
                <c:pt idx="14">
                  <c:v>0.783625730994152</c:v>
                </c:pt>
                <c:pt idx="15">
                  <c:v>0.66666666666666663</c:v>
                </c:pt>
                <c:pt idx="16">
                  <c:v>0.89200000000000002</c:v>
                </c:pt>
                <c:pt idx="17">
                  <c:v>1</c:v>
                </c:pt>
                <c:pt idx="18">
                  <c:v>1</c:v>
                </c:pt>
                <c:pt idx="19">
                  <c:v>0.10909090909090909</c:v>
                </c:pt>
                <c:pt idx="20">
                  <c:v>0.16438356164383561</c:v>
                </c:pt>
                <c:pt idx="21">
                  <c:v>0.1</c:v>
                </c:pt>
                <c:pt idx="22">
                  <c:v>0.8</c:v>
                </c:pt>
                <c:pt idx="23">
                  <c:v>0.4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Outdoor_Works!$E$3:$E$26</c15:f>
                <c15:dlblRangeCache>
                  <c:ptCount val="24"/>
                  <c:pt idx="0">
                    <c:v>100</c:v>
                  </c:pt>
                  <c:pt idx="1">
                    <c:v>34</c:v>
                  </c:pt>
                  <c:pt idx="2">
                    <c:v>2</c:v>
                  </c:pt>
                  <c:pt idx="3">
                    <c:v>1</c:v>
                  </c:pt>
                  <c:pt idx="4">
                    <c:v>23</c:v>
                  </c:pt>
                  <c:pt idx="5">
                    <c:v>23</c:v>
                  </c:pt>
                  <c:pt idx="6">
                    <c:v>23</c:v>
                  </c:pt>
                  <c:pt idx="7">
                    <c:v>2</c:v>
                  </c:pt>
                  <c:pt idx="8">
                    <c:v>12</c:v>
                  </c:pt>
                  <c:pt idx="9">
                    <c:v>12</c:v>
                  </c:pt>
                  <c:pt idx="10">
                    <c:v>1</c:v>
                  </c:pt>
                  <c:pt idx="11">
                    <c:v>23</c:v>
                  </c:pt>
                  <c:pt idx="12">
                    <c:v>2</c:v>
                  </c:pt>
                  <c:pt idx="13">
                    <c:v>3</c:v>
                  </c:pt>
                  <c:pt idx="14">
                    <c:v>134</c:v>
                  </c:pt>
                  <c:pt idx="15">
                    <c:v>4</c:v>
                  </c:pt>
                  <c:pt idx="16">
                    <c:v>223</c:v>
                  </c:pt>
                  <c:pt idx="17">
                    <c:v>2</c:v>
                  </c:pt>
                  <c:pt idx="18">
                    <c:v>2</c:v>
                  </c:pt>
                  <c:pt idx="19">
                    <c:v>12</c:v>
                  </c:pt>
                  <c:pt idx="20">
                    <c:v>12</c:v>
                  </c:pt>
                  <c:pt idx="21">
                    <c:v>1</c:v>
                  </c:pt>
                  <c:pt idx="22">
                    <c:v>400</c:v>
                  </c:pt>
                  <c:pt idx="23">
                    <c:v>300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4D9-4B7D-A3B4-91AA3379A68C}"/>
            </c:ext>
          </c:extLst>
        </c:ser>
        <c:ser>
          <c:idx val="1"/>
          <c:order val="1"/>
          <c:tx>
            <c:v>Scope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1CDD5ECC-9B2D-43D1-9E0C-25C408EBC65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4D9-4B7D-A3B4-91AA3379A68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53DD160-5A65-4D31-B8C4-A7F35C90C16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4D9-4B7D-A3B4-91AA3379A68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F605645-593C-40D6-9AB2-BF37856DAB4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4D9-4B7D-A3B4-91AA3379A68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50190B70-6DC2-45DC-9163-CB2E106F8B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4D9-4B7D-A3B4-91AA3379A68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5F003771-D38A-4937-9ED8-23BCDB9C34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4D9-4B7D-A3B4-91AA3379A68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FD98618D-46DD-46C2-A17D-19F3AAE932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4D9-4B7D-A3B4-91AA3379A68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43889D-7E8A-49BD-9B4E-0BDB127B9AB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4D9-4B7D-A3B4-91AA3379A68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0461AC08-A953-4FB5-A872-C0EC9B1DFA9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4D9-4B7D-A3B4-91AA3379A68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7AAFDA6-F520-40A2-BFC1-B545642F0A2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4D9-4B7D-A3B4-91AA3379A68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C99A50B-22D3-42AC-A2F0-8C56408A599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4D9-4B7D-A3B4-91AA3379A68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5A87A36A-FCAA-4A2B-8068-F08593211FA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4D9-4B7D-A3B4-91AA3379A68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783A5B5-9437-4C6F-9DA0-D203CB3BEAB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4D9-4B7D-A3B4-91AA3379A68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3F988C3-EE9A-45C2-906C-72C408F63B9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4D9-4B7D-A3B4-91AA3379A68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C626AAC7-3590-4481-9701-D74CA14939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A4D9-4B7D-A3B4-91AA3379A68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39AA6BC5-EB34-40CF-99F1-46D988DCF2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A4D9-4B7D-A3B4-91AA3379A68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356D282-B7AF-4A0D-83F4-5ABF5E2375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A4D9-4B7D-A3B4-91AA3379A68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F016526-98D4-43B7-8ED8-8B07F837B8E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A4D9-4B7D-A3B4-91AA3379A68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015B5C1C-76A7-41AD-9175-923C59FCF1B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A4D9-4B7D-A3B4-91AA3379A68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DAB6ADF5-0173-487E-90BF-61E6258682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A4D9-4B7D-A3B4-91AA3379A68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47D7C6F-8112-4D47-A79E-B29C002FF81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A4D9-4B7D-A3B4-91AA3379A68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C31C31EB-6931-42F2-9623-934C44626A1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A4D9-4B7D-A3B4-91AA3379A68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DDA5D42-2AEE-4C51-9AE7-54EC18695BF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A4D9-4B7D-A3B4-91AA3379A68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D72E45A-CEDB-44A0-8854-E05DFD6F8D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A4D9-4B7D-A3B4-91AA3379A68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D8E32435-2F0B-463A-A317-9D9016AAD4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A4D9-4B7D-A3B4-91AA3379A68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Outdoor_Works!$B$3:$B$26</c:f>
              <c:strCache>
                <c:ptCount val="24"/>
                <c:pt idx="0">
                  <c:v>MSDAC-29 DP &amp; 26 Track Section </c:v>
                </c:pt>
                <c:pt idx="1">
                  <c:v>CLS (Two Aspect)</c:v>
                </c:pt>
                <c:pt idx="2">
                  <c:v>CLS (Three Aspect)</c:v>
                </c:pt>
                <c:pt idx="3">
                  <c:v>CLS (Four Aspect)</c:v>
                </c:pt>
                <c:pt idx="4">
                  <c:v>Cast Iron Signal  base  140 mm  dia.</c:v>
                </c:pt>
                <c:pt idx="5">
                  <c:v>Tubular Post for CLS 5.5M</c:v>
                </c:pt>
                <c:pt idx="6">
                  <c:v>Ladder 5.5 M for CLS</c:v>
                </c:pt>
                <c:pt idx="7">
                  <c:v>Multi lamp route indicator(1-9)</c:v>
                </c:pt>
                <c:pt idx="8">
                  <c:v>Shunt Signal Position Light </c:v>
                </c:pt>
                <c:pt idx="9">
                  <c:v>Shunt Signal dependent type</c:v>
                </c:pt>
                <c:pt idx="10">
                  <c:v>Metallic A Marker</c:v>
                </c:pt>
                <c:pt idx="11">
                  <c:v>Red aspect(LED)</c:v>
                </c:pt>
                <c:pt idx="12">
                  <c:v>Yellow aspect(LED) </c:v>
                </c:pt>
                <c:pt idx="13">
                  <c:v>Green aspect(LED) </c:v>
                </c:pt>
                <c:pt idx="14">
                  <c:v>Shunt (LED)</c:v>
                </c:pt>
                <c:pt idx="15">
                  <c:v>Electric  key  transmitter-EKT/RKT</c:v>
                </c:pt>
                <c:pt idx="16">
                  <c:v>Earth   Electrodes</c:v>
                </c:pt>
                <c:pt idx="17">
                  <c:v>Electrically operated lifting barrier</c:v>
                </c:pt>
                <c:pt idx="18">
                  <c:v>Sliding Boom Gate</c:v>
                </c:pt>
                <c:pt idx="19">
                  <c:v>Full Apparatus Case with foundation</c:v>
                </c:pt>
                <c:pt idx="20">
                  <c:v>Electric point machine</c:v>
                </c:pt>
                <c:pt idx="21">
                  <c:v>C.T Box (Aluminium/Wago  type)</c:v>
                </c:pt>
                <c:pt idx="22">
                  <c:v>3 HDPE pipe-Micro Tunnelling</c:v>
                </c:pt>
                <c:pt idx="23">
                  <c:v>4 HDPE pipe-Micro Tunnelling</c:v>
                </c:pt>
              </c:strCache>
            </c:strRef>
          </c:cat>
          <c:val>
            <c:numRef>
              <c:f>Outdoor_Works!$H$3:$H$26</c:f>
              <c:numCache>
                <c:formatCode>0%</c:formatCode>
                <c:ptCount val="2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Outdoor_Works!$D$3:$D$26</c15:f>
                <c15:dlblRangeCache>
                  <c:ptCount val="24"/>
                  <c:pt idx="0">
                    <c:v>200</c:v>
                  </c:pt>
                  <c:pt idx="1">
                    <c:v>36</c:v>
                  </c:pt>
                  <c:pt idx="2">
                    <c:v>2</c:v>
                  </c:pt>
                  <c:pt idx="3">
                    <c:v>2</c:v>
                  </c:pt>
                  <c:pt idx="4">
                    <c:v>38</c:v>
                  </c:pt>
                  <c:pt idx="5">
                    <c:v>38</c:v>
                  </c:pt>
                  <c:pt idx="6">
                    <c:v>38</c:v>
                  </c:pt>
                  <c:pt idx="7">
                    <c:v>2</c:v>
                  </c:pt>
                  <c:pt idx="8">
                    <c:v>26</c:v>
                  </c:pt>
                  <c:pt idx="9">
                    <c:v>30</c:v>
                  </c:pt>
                  <c:pt idx="10">
                    <c:v>3</c:v>
                  </c:pt>
                  <c:pt idx="11">
                    <c:v>40</c:v>
                  </c:pt>
                  <c:pt idx="12">
                    <c:v>25</c:v>
                  </c:pt>
                  <c:pt idx="13">
                    <c:v>4</c:v>
                  </c:pt>
                  <c:pt idx="14">
                    <c:v>171</c:v>
                  </c:pt>
                  <c:pt idx="15">
                    <c:v>6</c:v>
                  </c:pt>
                  <c:pt idx="16">
                    <c:v>250</c:v>
                  </c:pt>
                  <c:pt idx="17">
                    <c:v>2</c:v>
                  </c:pt>
                  <c:pt idx="18">
                    <c:v>2</c:v>
                  </c:pt>
                  <c:pt idx="19">
                    <c:v>110</c:v>
                  </c:pt>
                  <c:pt idx="20">
                    <c:v>73</c:v>
                  </c:pt>
                  <c:pt idx="21">
                    <c:v>10</c:v>
                  </c:pt>
                  <c:pt idx="22">
                    <c:v>500</c:v>
                  </c:pt>
                  <c:pt idx="23">
                    <c:v>750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A4D9-4B7D-A3B4-91AA3379A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5711056"/>
        <c:axId val="1365711536"/>
      </c:barChart>
      <c:catAx>
        <c:axId val="1365711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11536"/>
        <c:crosses val="autoZero"/>
        <c:auto val="1"/>
        <c:lblAlgn val="ctr"/>
        <c:lblOffset val="100"/>
        <c:noMultiLvlLbl val="0"/>
      </c:catAx>
      <c:valAx>
        <c:axId val="1365711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5711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Cables</a:t>
            </a:r>
            <a:r>
              <a:rPr lang="en-US" baseline="0"/>
              <a:t> Progress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Executed Work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47CF84C9-F2EC-4CE2-B728-75E814BF13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3D7F-41F0-9D51-0ACAE835B4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6431CA8-702D-46FB-971D-9E359559A01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3D7F-41F0-9D51-0ACAE835B4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AB8C060-95E0-4EA3-B763-1239BB73E86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3D7F-41F0-9D51-0ACAE835B4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09916F4-D86F-49C1-8B06-808C1D1CB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3D7F-41F0-9D51-0ACAE835B40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8C78803-5CA2-4124-B6E8-3DF8E9FC4D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3D7F-41F0-9D51-0ACAE835B40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33653C13-8D09-479D-A719-7E5A42C1650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3D7F-41F0-9D51-0ACAE835B40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85068CBC-5D48-4D85-8B33-799D3E0A18D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3D7F-41F0-9D51-0ACAE835B40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8AA264F-056A-4FBA-91F9-63A0F1F4F08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3D7F-41F0-9D51-0ACAE835B40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C5E7D73-45AD-4446-B849-050D0C5DD95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3D7F-41F0-9D51-0ACAE835B40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753907E-FC39-426F-9D36-6CED0198157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3D7F-41F0-9D51-0ACAE835B40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BD1B850-8178-45AA-99A9-DCC178EC40F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3D7F-41F0-9D51-0ACAE835B40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6CBA87CC-26F8-4B01-843A-F65D5B38662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3D7F-41F0-9D51-0ACAE835B40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90DA26D-73D2-4FD7-85F3-F0B613A81DF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3D7F-41F0-9D51-0ACAE835B40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9C3D269A-2883-4986-8569-A4E61424145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3D7F-41F0-9D51-0ACAE835B40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61271885-6B0B-45EC-94E2-5CC5389F0E9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0-3D7F-41F0-9D51-0ACAE835B40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FA56EA20-915E-4939-8927-FE022F12A3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21-3D7F-41F0-9D51-0ACAE835B4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'Cables '!$B$3:$B$18</c:f>
              <c:strCache>
                <c:ptCount val="16"/>
                <c:pt idx="0">
                  <c:v>Polyolefin Cable Channel with cover</c:v>
                </c:pt>
                <c:pt idx="1">
                  <c:v>Outdoor Signalling cable-6 Corex1.5 sq mm</c:v>
                </c:pt>
                <c:pt idx="2">
                  <c:v>Outdoor Signalling cable-12 Corex1.5 sq mm</c:v>
                </c:pt>
                <c:pt idx="3">
                  <c:v>Aluminium Power Cable-2 Corex25 sq mm</c:v>
                </c:pt>
                <c:pt idx="4">
                  <c:v>Underground jelly filled-6 Quad Cable</c:v>
                </c:pt>
                <c:pt idx="5">
                  <c:v>24 Fiber Armoured OFC</c:v>
                </c:pt>
                <c:pt idx="6">
                  <c:v>HDPE pipe-OD/ID 40mm/33mm</c:v>
                </c:pt>
                <c:pt idx="7">
                  <c:v>Steel Apparatus case Full height</c:v>
                </c:pt>
                <c:pt idx="8">
                  <c:v>6 Core Armoured Mono mode OFC cable</c:v>
                </c:pt>
                <c:pt idx="9">
                  <c:v>PVC Insulated copper Indoor Cable 60 Core</c:v>
                </c:pt>
                <c:pt idx="10">
                  <c:v>S&amp;T  Cables  (Signal/Quad/Power)</c:v>
                </c:pt>
                <c:pt idx="11">
                  <c:v>Existing working cables-tracing &amp; opening</c:v>
                </c:pt>
                <c:pt idx="12">
                  <c:v>Excavation of trench (Depth 1.0m, Width 0.3m)</c:v>
                </c:pt>
                <c:pt idx="13">
                  <c:v>Transportation of S&amp;T Cables</c:v>
                </c:pt>
                <c:pt idx="14">
                  <c:v>Excavation of trench in all kinds of soils</c:v>
                </c:pt>
                <c:pt idx="15">
                  <c:v>Transportation,loading/unloading -OFC</c:v>
                </c:pt>
              </c:strCache>
            </c:strRef>
          </c:cat>
          <c:val>
            <c:numRef>
              <c:f>'Cables '!$G$3:$G$18</c:f>
              <c:numCache>
                <c:formatCode>0%</c:formatCode>
                <c:ptCount val="16"/>
                <c:pt idx="0">
                  <c:v>0.9</c:v>
                </c:pt>
                <c:pt idx="1">
                  <c:v>0.4</c:v>
                </c:pt>
                <c:pt idx="2">
                  <c:v>0.26666666666666666</c:v>
                </c:pt>
                <c:pt idx="3">
                  <c:v>1</c:v>
                </c:pt>
                <c:pt idx="4">
                  <c:v>0.66666666666666663</c:v>
                </c:pt>
                <c:pt idx="5">
                  <c:v>1</c:v>
                </c:pt>
                <c:pt idx="6">
                  <c:v>1</c:v>
                </c:pt>
                <c:pt idx="7">
                  <c:v>0.45454545454545453</c:v>
                </c:pt>
                <c:pt idx="8">
                  <c:v>1</c:v>
                </c:pt>
                <c:pt idx="9">
                  <c:v>0</c:v>
                </c:pt>
                <c:pt idx="10">
                  <c:v>0.11428571428571428</c:v>
                </c:pt>
                <c:pt idx="11">
                  <c:v>4.8000000000000001E-2</c:v>
                </c:pt>
                <c:pt idx="12">
                  <c:v>0.33333333333333331</c:v>
                </c:pt>
                <c:pt idx="13">
                  <c:v>5.4761904761904762E-2</c:v>
                </c:pt>
                <c:pt idx="14">
                  <c:v>0.10947712418300654</c:v>
                </c:pt>
                <c:pt idx="15">
                  <c:v>0.5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'Cables '!$E$3:$E$18</c15:f>
                <c15:dlblRangeCache>
                  <c:ptCount val="16"/>
                  <c:pt idx="0">
                    <c:v>1800</c:v>
                  </c:pt>
                  <c:pt idx="1">
                    <c:v>4</c:v>
                  </c:pt>
                  <c:pt idx="2">
                    <c:v>40</c:v>
                  </c:pt>
                  <c:pt idx="3">
                    <c:v>20</c:v>
                  </c:pt>
                  <c:pt idx="4">
                    <c:v>20</c:v>
                  </c:pt>
                  <c:pt idx="5">
                    <c:v>10</c:v>
                  </c:pt>
                  <c:pt idx="6">
                    <c:v>15</c:v>
                  </c:pt>
                  <c:pt idx="7">
                    <c:v>50</c:v>
                  </c:pt>
                  <c:pt idx="8">
                    <c:v>1</c:v>
                  </c:pt>
                  <c:pt idx="9">
                    <c:v>0</c:v>
                  </c:pt>
                  <c:pt idx="10">
                    <c:v>24</c:v>
                  </c:pt>
                  <c:pt idx="11">
                    <c:v>120</c:v>
                  </c:pt>
                  <c:pt idx="12">
                    <c:v>1</c:v>
                  </c:pt>
                  <c:pt idx="13">
                    <c:v>23</c:v>
                  </c:pt>
                  <c:pt idx="14">
                    <c:v>134</c:v>
                  </c:pt>
                  <c:pt idx="15">
                    <c:v>5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D7F-41F0-9D51-0ACAE835B405}"/>
            </c:ext>
          </c:extLst>
        </c:ser>
        <c:ser>
          <c:idx val="1"/>
          <c:order val="1"/>
          <c:tx>
            <c:v>Executed Work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D7BA5F1-589E-490B-B253-FB453188F9B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D7F-41F0-9D51-0ACAE835B405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761F335-3EF0-4229-B9AB-92D00E5FB0D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D7F-41F0-9D51-0ACAE835B405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B086D7D-B267-4AF7-9996-AE508F0925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D7F-41F0-9D51-0ACAE835B405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2618EB1-D4F6-4AB9-9170-1DB3C0C810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D7F-41F0-9D51-0ACAE835B405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F7A1443-5794-4436-A067-D355830AB54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D7F-41F0-9D51-0ACAE835B405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412D3945-0DCB-4404-A4BB-1AA5EB336F9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D7F-41F0-9D51-0ACAE835B405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91EA4209-8D67-4C22-9276-D1074F338FB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D7F-41F0-9D51-0ACAE835B405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3674FA27-4946-493D-A168-198512179F7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3D7F-41F0-9D51-0ACAE835B405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32E4BA1A-AF32-4463-BDAE-E09A0A0E0A7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3D7F-41F0-9D51-0ACAE835B405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EBBBE28-A2C0-432E-94C6-624535D4F9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3D7F-41F0-9D51-0ACAE835B405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B1E358A-C6A2-4C31-B682-202523582C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3D7F-41F0-9D51-0ACAE835B405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77B7817-8CBE-42A4-89AF-B51DBD95435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3D7F-41F0-9D51-0ACAE835B405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A5A285D-E86F-4842-8A77-637E11E8614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3D7F-41F0-9D51-0ACAE835B405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C7A0063-9CF7-40F3-880F-858748D630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3D7F-41F0-9D51-0ACAE835B405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0FF83DD3-0E19-446C-A7D3-2A37BFA5411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3D7F-41F0-9D51-0ACAE835B405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575D1D2-C830-4A83-A99B-C6D717D17E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3D7F-41F0-9D51-0ACAE835B4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'Cables '!$B$3:$B$18</c:f>
              <c:strCache>
                <c:ptCount val="16"/>
                <c:pt idx="0">
                  <c:v>Polyolefin Cable Channel with cover</c:v>
                </c:pt>
                <c:pt idx="1">
                  <c:v>Outdoor Signalling cable-6 Corex1.5 sq mm</c:v>
                </c:pt>
                <c:pt idx="2">
                  <c:v>Outdoor Signalling cable-12 Corex1.5 sq mm</c:v>
                </c:pt>
                <c:pt idx="3">
                  <c:v>Aluminium Power Cable-2 Corex25 sq mm</c:v>
                </c:pt>
                <c:pt idx="4">
                  <c:v>Underground jelly filled-6 Quad Cable</c:v>
                </c:pt>
                <c:pt idx="5">
                  <c:v>24 Fiber Armoured OFC</c:v>
                </c:pt>
                <c:pt idx="6">
                  <c:v>HDPE pipe-OD/ID 40mm/33mm</c:v>
                </c:pt>
                <c:pt idx="7">
                  <c:v>Steel Apparatus case Full height</c:v>
                </c:pt>
                <c:pt idx="8">
                  <c:v>6 Core Armoured Mono mode OFC cable</c:v>
                </c:pt>
                <c:pt idx="9">
                  <c:v>PVC Insulated copper Indoor Cable 60 Core</c:v>
                </c:pt>
                <c:pt idx="10">
                  <c:v>S&amp;T  Cables  (Signal/Quad/Power)</c:v>
                </c:pt>
                <c:pt idx="11">
                  <c:v>Existing working cables-tracing &amp; opening</c:v>
                </c:pt>
                <c:pt idx="12">
                  <c:v>Excavation of trench (Depth 1.0m, Width 0.3m)</c:v>
                </c:pt>
                <c:pt idx="13">
                  <c:v>Transportation of S&amp;T Cables</c:v>
                </c:pt>
                <c:pt idx="14">
                  <c:v>Excavation of trench in all kinds of soils</c:v>
                </c:pt>
                <c:pt idx="15">
                  <c:v>Transportation,loading/unloading -OFC</c:v>
                </c:pt>
              </c:strCache>
            </c:strRef>
          </c:cat>
          <c:val>
            <c:numRef>
              <c:f>'Cables '!$H$3:$H$18</c:f>
              <c:numCache>
                <c:formatCode>0%</c:formatCode>
                <c:ptCount val="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'Cables '!$D$3:$D$18</c15:f>
                <c15:dlblRangeCache>
                  <c:ptCount val="16"/>
                  <c:pt idx="0">
                    <c:v>2000</c:v>
                  </c:pt>
                  <c:pt idx="1">
                    <c:v>10</c:v>
                  </c:pt>
                  <c:pt idx="2">
                    <c:v>150</c:v>
                  </c:pt>
                  <c:pt idx="3">
                    <c:v>20</c:v>
                  </c:pt>
                  <c:pt idx="4">
                    <c:v>30</c:v>
                  </c:pt>
                  <c:pt idx="5">
                    <c:v>10</c:v>
                  </c:pt>
                  <c:pt idx="6">
                    <c:v>15</c:v>
                  </c:pt>
                  <c:pt idx="7">
                    <c:v>110</c:v>
                  </c:pt>
                  <c:pt idx="8">
                    <c:v>1</c:v>
                  </c:pt>
                  <c:pt idx="9">
                    <c:v>3</c:v>
                  </c:pt>
                  <c:pt idx="10">
                    <c:v>210</c:v>
                  </c:pt>
                  <c:pt idx="11">
                    <c:v>2500</c:v>
                  </c:pt>
                  <c:pt idx="12">
                    <c:v>3</c:v>
                  </c:pt>
                  <c:pt idx="13">
                    <c:v>420</c:v>
                  </c:pt>
                  <c:pt idx="14">
                    <c:v>1224</c:v>
                  </c:pt>
                  <c:pt idx="15">
                    <c:v>10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3D7F-41F0-9D51-0ACAE835B4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04202672"/>
        <c:axId val="1104196432"/>
      </c:barChart>
      <c:catAx>
        <c:axId val="110420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196432"/>
        <c:crosses val="autoZero"/>
        <c:auto val="1"/>
        <c:lblAlgn val="ctr"/>
        <c:lblOffset val="100"/>
        <c:noMultiLvlLbl val="0"/>
      </c:catAx>
      <c:valAx>
        <c:axId val="1104196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42026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Telecommunication Progress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Executed Work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E8315B6F-198D-4EEF-8531-A025E46FC9A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89D8-40EA-956B-804882D3B9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5C0A9A1-22AB-4E00-BD43-320E6F1AED7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89D8-40EA-956B-804882D3B9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8CAA37F-861D-4C27-8321-0A50C2D7DC2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89D8-40EA-956B-804882D3B9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19C6DA9-39B8-44E5-B283-DB56B34089E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89D8-40EA-956B-804882D3B9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9528AEA1-1AEA-4A70-93A5-8D33247B37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89D8-40EA-956B-804882D3B9B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ECBB15-22C9-4276-9FFE-450F4776BCB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89D8-40EA-956B-804882D3B9B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DAD025D5-11E1-4A23-B7C9-3FA55CAFB1C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89D8-40EA-956B-804882D3B9B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150492CA-473E-4507-A91F-C6FA9A45704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89D8-40EA-956B-804882D3B9B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48B26C1-E172-4571-A32B-783716990F0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89D8-40EA-956B-804882D3B9B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75521540-A69A-4923-8471-848E787D930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89D8-40EA-956B-804882D3B9B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6FB53389-EB1F-4E0B-8EB4-70EDBC5F30C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B-89D8-40EA-956B-804882D3B9B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94185733-198F-4D7F-A514-298D2751526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C-89D8-40EA-956B-804882D3B9B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FB1CD59C-C2FB-4555-998C-8855388236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D-89D8-40EA-956B-804882D3B9B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66EC788-B06A-4959-AEA4-F66CE9F9915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E-89D8-40EA-956B-804882D3B9B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0B166D8-AFE6-4A18-B996-163596D36D0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F-89D8-40EA-956B-804882D3B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Telecomm!$B$3:$B$17</c:f>
              <c:strCache>
                <c:ptCount val="15"/>
                <c:pt idx="0">
                  <c:v>200AH- VRLA Secondary Cell </c:v>
                </c:pt>
                <c:pt idx="1">
                  <c:v>Managed SDH (STM-1 Add/Drop MUX, 21E1s)</c:v>
                </c:pt>
                <c:pt idx="2">
                  <c:v>2MB Primary Digital Drop multiplexer-E&amp;M (4 Nos), FXO (2 Nos),FXS (2 Nos)</c:v>
                </c:pt>
                <c:pt idx="3">
                  <c:v>Master Telephone Unit for LC  Gate </c:v>
                </c:pt>
                <c:pt idx="4">
                  <c:v>Fibre Distribution Management  system(FDMS)for 48 Fiber </c:v>
                </c:pt>
                <c:pt idx="5">
                  <c:v>GPS synchronized digitaL clock</c:v>
                </c:pt>
                <c:pt idx="6">
                  <c:v>Industrial Grade 4 Port Router</c:v>
                </c:pt>
                <c:pt idx="7">
                  <c:v>Vehicle for loading &amp;unloading of material</c:v>
                </c:pt>
                <c:pt idx="8">
                  <c:v>Truck of 1 Ton capacity (24hours)</c:v>
                </c:pt>
                <c:pt idx="9">
                  <c:v>Laying of OFC/Power cable/CAT-6 cable/PA Cable/Data cable</c:v>
                </c:pt>
                <c:pt idx="10">
                  <c:v>Maintenance Console-MSDAC</c:v>
                </c:pt>
                <c:pt idx="11">
                  <c:v>Bullet  Type  IP  Color  camera</c:v>
                </c:pt>
                <c:pt idx="12">
                  <c:v>Emergency Socket Box on Rail Post</c:v>
                </c:pt>
                <c:pt idx="13">
                  <c:v>Managed SDH (STM-1 MUX)</c:v>
                </c:pt>
                <c:pt idx="14">
                  <c:v>2 Mb Programmable Primary Digital drop insert MUX</c:v>
                </c:pt>
              </c:strCache>
            </c:strRef>
          </c:cat>
          <c:val>
            <c:numRef>
              <c:f>Telecomm!$G$3:$G$17</c:f>
              <c:numCache>
                <c:formatCode>0%</c:formatCode>
                <c:ptCount val="15"/>
                <c:pt idx="0">
                  <c:v>0.54166666666666663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0.2</c:v>
                </c:pt>
                <c:pt idx="5">
                  <c:v>0</c:v>
                </c:pt>
                <c:pt idx="6">
                  <c:v>0</c:v>
                </c:pt>
                <c:pt idx="7">
                  <c:v>0.83333333333333337</c:v>
                </c:pt>
                <c:pt idx="8">
                  <c:v>0.92592592592592593</c:v>
                </c:pt>
                <c:pt idx="9">
                  <c:v>0.33333333333333331</c:v>
                </c:pt>
                <c:pt idx="10">
                  <c:v>0.25</c:v>
                </c:pt>
                <c:pt idx="11">
                  <c:v>0.375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Telecomm!$E$3:$E$17</c15:f>
                <c15:dlblRangeCache>
                  <c:ptCount val="15"/>
                  <c:pt idx="0">
                    <c:v>13</c:v>
                  </c:pt>
                  <c:pt idx="1">
                    <c:v>0</c:v>
                  </c:pt>
                  <c:pt idx="2">
                    <c:v>0</c:v>
                  </c:pt>
                  <c:pt idx="3">
                    <c:v>0</c:v>
                  </c:pt>
                  <c:pt idx="4">
                    <c:v>2</c:v>
                  </c:pt>
                  <c:pt idx="5">
                    <c:v>0</c:v>
                  </c:pt>
                  <c:pt idx="6">
                    <c:v>0</c:v>
                  </c:pt>
                  <c:pt idx="7">
                    <c:v>45000</c:v>
                  </c:pt>
                  <c:pt idx="8">
                    <c:v>500</c:v>
                  </c:pt>
                  <c:pt idx="9">
                    <c:v>4000</c:v>
                  </c:pt>
                  <c:pt idx="10">
                    <c:v>1</c:v>
                  </c:pt>
                  <c:pt idx="11">
                    <c:v>3</c:v>
                  </c:pt>
                  <c:pt idx="12">
                    <c:v>0</c:v>
                  </c:pt>
                  <c:pt idx="13">
                    <c:v>0</c:v>
                  </c:pt>
                  <c:pt idx="14">
                    <c:v>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89D8-40EA-956B-804882D3B9B0}"/>
            </c:ext>
          </c:extLst>
        </c:ser>
        <c:ser>
          <c:idx val="1"/>
          <c:order val="1"/>
          <c:tx>
            <c:v>Scope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9EB60464-03F8-4643-9101-D05098A7A2E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89D8-40EA-956B-804882D3B9B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56DEA218-6F4B-47AA-98DF-5DAF93980B2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89D8-40EA-956B-804882D3B9B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B43EA222-7FEA-4C8E-AD9D-14D2D58421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89D8-40EA-956B-804882D3B9B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3619A48C-0026-4DD6-A124-03584DBC903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89D8-40EA-956B-804882D3B9B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71CCD12-8D94-4307-A221-3258EB4366C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89D8-40EA-956B-804882D3B9B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EDE8CB3-D478-43CF-AD35-BEC953CE09A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89D8-40EA-956B-804882D3B9B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821C41F-F4DC-4D27-B592-89AA5C476E4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89D8-40EA-956B-804882D3B9B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92AE3CD-206C-4D9A-B772-1E113393F36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89D8-40EA-956B-804882D3B9B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79AB574-4B18-4195-903D-8CC553E6D96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89D8-40EA-956B-804882D3B9B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442B466-F204-4627-B339-45DC1BF9E09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89D8-40EA-956B-804882D3B9B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196F58D-DE7F-4552-9C53-584108976A7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89D8-40EA-956B-804882D3B9B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32D8983A-BB21-4AE2-853F-004033A5FE0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89D8-40EA-956B-804882D3B9B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5A0A4F0F-0A4F-455D-BE86-2F90A0DD99D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89D8-40EA-956B-804882D3B9B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39652A51-934E-4E2A-A6B9-EDE0510F61F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89D8-40EA-956B-804882D3B9B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282B1A1-0D9C-4EF7-8343-E9E647FDB5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out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89D8-40EA-956B-804882D3B9B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Telecomm!$B$3:$B$17</c:f>
              <c:strCache>
                <c:ptCount val="15"/>
                <c:pt idx="0">
                  <c:v>200AH- VRLA Secondary Cell </c:v>
                </c:pt>
                <c:pt idx="1">
                  <c:v>Managed SDH (STM-1 Add/Drop MUX, 21E1s)</c:v>
                </c:pt>
                <c:pt idx="2">
                  <c:v>2MB Primary Digital Drop multiplexer-E&amp;M (4 Nos), FXO (2 Nos),FXS (2 Nos)</c:v>
                </c:pt>
                <c:pt idx="3">
                  <c:v>Master Telephone Unit for LC  Gate </c:v>
                </c:pt>
                <c:pt idx="4">
                  <c:v>Fibre Distribution Management  system(FDMS)for 48 Fiber </c:v>
                </c:pt>
                <c:pt idx="5">
                  <c:v>GPS synchronized digitaL clock</c:v>
                </c:pt>
                <c:pt idx="6">
                  <c:v>Industrial Grade 4 Port Router</c:v>
                </c:pt>
                <c:pt idx="7">
                  <c:v>Vehicle for loading &amp;unloading of material</c:v>
                </c:pt>
                <c:pt idx="8">
                  <c:v>Truck of 1 Ton capacity (24hours)</c:v>
                </c:pt>
                <c:pt idx="9">
                  <c:v>Laying of OFC/Power cable/CAT-6 cable/PA Cable/Data cable</c:v>
                </c:pt>
                <c:pt idx="10">
                  <c:v>Maintenance Console-MSDAC</c:v>
                </c:pt>
                <c:pt idx="11">
                  <c:v>Bullet  Type  IP  Color  camera</c:v>
                </c:pt>
                <c:pt idx="12">
                  <c:v>Emergency Socket Box on Rail Post</c:v>
                </c:pt>
                <c:pt idx="13">
                  <c:v>Managed SDH (STM-1 MUX)</c:v>
                </c:pt>
                <c:pt idx="14">
                  <c:v>2 Mb Programmable Primary Digital drop insert MUX</c:v>
                </c:pt>
              </c:strCache>
            </c:strRef>
          </c:cat>
          <c:val>
            <c:numRef>
              <c:f>Telecomm!$H$3:$H$17</c:f>
              <c:numCache>
                <c:formatCode>0%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Telecomm!$D$3:$D$17</c15:f>
                <c15:dlblRangeCache>
                  <c:ptCount val="15"/>
                  <c:pt idx="0">
                    <c:v>24</c:v>
                  </c:pt>
                  <c:pt idx="1">
                    <c:v>1</c:v>
                  </c:pt>
                  <c:pt idx="2">
                    <c:v>1</c:v>
                  </c:pt>
                  <c:pt idx="3">
                    <c:v>2</c:v>
                  </c:pt>
                  <c:pt idx="4">
                    <c:v>10</c:v>
                  </c:pt>
                  <c:pt idx="5">
                    <c:v>2</c:v>
                  </c:pt>
                  <c:pt idx="6">
                    <c:v>1</c:v>
                  </c:pt>
                  <c:pt idx="7">
                    <c:v>54000</c:v>
                  </c:pt>
                  <c:pt idx="8">
                    <c:v>540</c:v>
                  </c:pt>
                  <c:pt idx="9">
                    <c:v>12000</c:v>
                  </c:pt>
                  <c:pt idx="10">
                    <c:v>4</c:v>
                  </c:pt>
                  <c:pt idx="11">
                    <c:v>8</c:v>
                  </c:pt>
                  <c:pt idx="12">
                    <c:v>3</c:v>
                  </c:pt>
                  <c:pt idx="13">
                    <c:v>1</c:v>
                  </c:pt>
                  <c:pt idx="14">
                    <c:v>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89D8-40EA-956B-804882D3B9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455040976"/>
        <c:axId val="1455046736"/>
      </c:barChart>
      <c:catAx>
        <c:axId val="145504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046736"/>
        <c:crosses val="autoZero"/>
        <c:auto val="1"/>
        <c:lblAlgn val="ctr"/>
        <c:lblOffset val="100"/>
        <c:noMultiLvlLbl val="0"/>
      </c:catAx>
      <c:valAx>
        <c:axId val="1455046736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504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11206</xdr:colOff>
      <xdr:row>1</xdr:row>
      <xdr:rowOff>1119</xdr:rowOff>
    </xdr:from>
    <xdr:to>
      <xdr:col>9</xdr:col>
      <xdr:colOff>600315</xdr:colOff>
      <xdr:row>13</xdr:row>
      <xdr:rowOff>24013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54541B-64FF-5D51-2C26-C3A459B555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603518</xdr:colOff>
      <xdr:row>1</xdr:row>
      <xdr:rowOff>9126</xdr:rowOff>
    </xdr:from>
    <xdr:to>
      <xdr:col>13</xdr:col>
      <xdr:colOff>576303</xdr:colOff>
      <xdr:row>10</xdr:row>
      <xdr:rowOff>168086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C54F8FE-CF24-C35C-022E-2031B4FA7D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1185333</xdr:colOff>
      <xdr:row>13</xdr:row>
      <xdr:rowOff>31750</xdr:rowOff>
    </xdr:from>
    <xdr:to>
      <xdr:col>18</xdr:col>
      <xdr:colOff>344065</xdr:colOff>
      <xdr:row>37</xdr:row>
      <xdr:rowOff>127651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683533-A7B8-8706-C86A-8060A75A48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30750" y="2518833"/>
          <a:ext cx="8345065" cy="46679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3663</xdr:colOff>
      <xdr:row>2</xdr:row>
      <xdr:rowOff>10353</xdr:rowOff>
    </xdr:from>
    <xdr:to>
      <xdr:col>18</xdr:col>
      <xdr:colOff>12211</xdr:colOff>
      <xdr:row>22</xdr:row>
      <xdr:rowOff>31059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3A16DA0-EE69-0575-3531-09BC42ECE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23798</xdr:colOff>
      <xdr:row>1</xdr:row>
      <xdr:rowOff>447046</xdr:rowOff>
    </xdr:from>
    <xdr:to>
      <xdr:col>19</xdr:col>
      <xdr:colOff>604275</xdr:colOff>
      <xdr:row>25</xdr:row>
      <xdr:rowOff>184355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F90293E-1752-8E88-BE6C-C24E18690B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2</xdr:row>
      <xdr:rowOff>14287</xdr:rowOff>
    </xdr:from>
    <xdr:to>
      <xdr:col>18</xdr:col>
      <xdr:colOff>571500</xdr:colOff>
      <xdr:row>22</xdr:row>
      <xdr:rowOff>66675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A7FFBE6-8A51-E0AE-5F34-19782C01CD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14919</xdr:colOff>
      <xdr:row>1</xdr:row>
      <xdr:rowOff>357472</xdr:rowOff>
    </xdr:from>
    <xdr:to>
      <xdr:col>19</xdr:col>
      <xdr:colOff>0</xdr:colOff>
      <xdr:row>22</xdr:row>
      <xdr:rowOff>160662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6A089AE-1517-A718-35A2-A8F7DE871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936945F-7F2F-4D62-963B-6977F126BFAA}" name="Table5" displayName="Table5" ref="A2:E7" totalsRowShown="0" headerRowDxfId="73" dataDxfId="72">
  <autoFilter ref="A2:E7" xr:uid="{6936945F-7F2F-4D62-963B-6977F126BFAA}"/>
  <tableColumns count="5">
    <tableColumn id="1" xr3:uid="{250B41DE-1994-4BF2-8413-30D6E5217112}" name="S.No" dataDxfId="71"/>
    <tableColumn id="2" xr3:uid="{F9E24DBE-1126-4DB4-A56D-856FD98DB30A}" name="Description" dataDxfId="70"/>
    <tableColumn id="3" xr3:uid="{2CDB99C5-8720-473B-8E7E-35F6B3A57A51}" name="Progress(%)" dataDxfId="69">
      <calculatedColumnFormula>Table134[[#Totals],[Earned 
Progress]]</calculatedColumnFormula>
    </tableColumn>
    <tableColumn id="4" xr3:uid="{ACCE8506-97DF-4705-A53C-1898FE983B95}" name="Weightage" dataDxfId="68" dataCellStyle="Percent"/>
    <tableColumn id="5" xr3:uid="{90BBC4B2-665A-42EE-956E-66D8BD801F84}" name="Earned Progress" dataDxfId="67" dataCellStyle="Percent">
      <calculatedColumnFormula>C3*D3</calculatedColumnFormula>
    </tableColumn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D162D0D-D2F1-4F66-A384-6E3AD51604B7}" name="Table134" displayName="Table134" ref="A2:J18" totalsRowCount="1" headerRowDxfId="95" dataDxfId="94">
  <autoFilter ref="A2:J17" xr:uid="{993682B5-2984-4950-AC2B-C788A7CF20A0}"/>
  <tableColumns count="10">
    <tableColumn id="1" xr3:uid="{9912FCE9-C5AE-494E-9CCF-2215A7E584D8}" name="S.No " dataDxfId="93" totalsRowDxfId="92">
      <calculatedColumnFormula array="1">_xlfn.SEQUENCE(B613)</calculatedColumnFormula>
    </tableColumn>
    <tableColumn id="2" xr3:uid="{573900D1-467B-4BCD-B9EE-BBA228917D3E}" name="Description of Item" totalsRowLabel="Total" dataDxfId="91" totalsRowDxfId="90"/>
    <tableColumn id="3" xr3:uid="{5EB19391-550D-4AE4-AF24-63A402B69845}" name="UOM" dataDxfId="89" totalsRowDxfId="88"/>
    <tableColumn id="4" xr3:uid="{CFEAFE24-2076-42A7-AF7B-64F7622B6D1C}" name="Quantity" dataDxfId="87" totalsRowDxfId="86"/>
    <tableColumn id="5" xr3:uid="{7423704B-D8F7-49ED-ADA6-976FEA2D1D42}" name="Current_x000a_ Progress" dataDxfId="85" totalsRowDxfId="84"/>
    <tableColumn id="6" xr3:uid="{D94D89BB-681D-4DA3-B6B1-3B16E0E69AE3}" name="Balance _x000a_Quantity" dataDxfId="83" totalsRowDxfId="82">
      <calculatedColumnFormula>D3-E3</calculatedColumnFormula>
    </tableColumn>
    <tableColumn id="7" xr3:uid="{BAE35FE9-6812-4DCC-9F2F-61DCC72F2222}" name="% Progress" dataDxfId="81" totalsRowDxfId="80" dataCellStyle="Percent">
      <calculatedColumnFormula>E3/D3</calculatedColumnFormula>
    </tableColumn>
    <tableColumn id="10" xr3:uid="{FA4CE79C-240B-4D46-B1AB-153C3147C15F}" name="Scope Progress" dataDxfId="79" totalsRowDxfId="78" dataCellStyle="Percent"/>
    <tableColumn id="8" xr3:uid="{B310952A-24A4-4AD1-9566-323BBBDEA8D9}" name="Weightage _x000a_factor " totalsRowFunction="custom" dataDxfId="77" totalsRowDxfId="76" dataCellStyle="Percent">
      <totalsRowFormula>SUM(I3:I17)</totalsRowFormula>
    </tableColumn>
    <tableColumn id="9" xr3:uid="{8D54D91B-BC88-419E-A6E5-1811FE5B40C5}" name="Earned _x000a_Progress" totalsRowFunction="custom" dataDxfId="75" totalsRowDxfId="74">
      <calculatedColumnFormula>G3*I3</calculatedColumnFormula>
      <totalsRowFormula>SUM(J3:J17)</totalsRowFormula>
    </tableColumn>
  </tableColumns>
  <tableStyleInfo name="TableStyleLight1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3682B5-2984-4950-AC2B-C788A7CF20A0}" name="Table1" displayName="Table1" ref="A2:J27" totalsRowCount="1" headerRowDxfId="66" dataDxfId="65" totalsRowDxfId="64">
  <autoFilter ref="A2:J26" xr:uid="{993682B5-2984-4950-AC2B-C788A7CF20A0}"/>
  <tableColumns count="10">
    <tableColumn id="1" xr3:uid="{5D89F5DD-3A57-432F-BDCE-85AC00F0FBF5}" name="S.No " dataDxfId="63" totalsRowDxfId="62"/>
    <tableColumn id="2" xr3:uid="{173B397B-9D31-4190-922F-3DF323A49B3E}" name="Description of Item" totalsRowLabel="Total" dataDxfId="61" totalsRowDxfId="60"/>
    <tableColumn id="3" xr3:uid="{D5DFD2B2-FF93-4309-9ED5-3BCE13E1057E}" name="UOM" dataDxfId="59" totalsRowDxfId="58"/>
    <tableColumn id="4" xr3:uid="{0D4D574D-9799-4796-B133-F050812FBBA7}" name="Quantity" dataDxfId="57" totalsRowDxfId="56"/>
    <tableColumn id="5" xr3:uid="{AEF4E07A-D3D4-4E8C-BE15-0EBBF296B0E2}" name="Current _x000a_Progress" dataDxfId="55" totalsRowDxfId="54"/>
    <tableColumn id="6" xr3:uid="{9067CC2C-1B49-4A1B-8635-6C4E407CAFE8}" name="Balance _x000a_Quantity" dataDxfId="53" totalsRowDxfId="52">
      <calculatedColumnFormula>D3-E3</calculatedColumnFormula>
    </tableColumn>
    <tableColumn id="7" xr3:uid="{36A1E7C8-533E-4705-AD57-B6A07ED049AD}" name="% Progress " dataDxfId="51" totalsRowDxfId="50" dataCellStyle="Percent">
      <calculatedColumnFormula>E3/D3</calculatedColumnFormula>
    </tableColumn>
    <tableColumn id="10" xr3:uid="{2156FB65-E8DA-46D8-8311-157C24805587}" name="Scope Progress" dataDxfId="49" totalsRowDxfId="48" dataCellStyle="Percent"/>
    <tableColumn id="8" xr3:uid="{0FBA091E-CF42-4A5D-BF63-02E314260911}" name="Weightage _x000a_factor " totalsRowFunction="custom" dataDxfId="47" totalsRowDxfId="46" dataCellStyle="Percent">
      <totalsRowFormula>SUM(I3:I26)</totalsRowFormula>
    </tableColumn>
    <tableColumn id="9" xr3:uid="{AEB49427-1951-4DC2-A03E-D3C1542415FC}" name="Earned _x000a_Progress" totalsRowFunction="custom" dataDxfId="45" totalsRowDxfId="44" dataCellStyle="Percent">
      <calculatedColumnFormula>G3*I3</calculatedColumnFormula>
      <totalsRowFormula>SUM(J3:J26)</totalsRowFormula>
    </tableColumn>
  </tableColumns>
  <tableStyleInfo name="TableStyleMedium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7EA1E4-E03E-4A08-BDF2-6434BFADDCAC}" name="Table13" displayName="Table13" ref="A2:J19" totalsRowCount="1" headerRowDxfId="43" dataDxfId="42">
  <autoFilter ref="A2:J18" xr:uid="{993682B5-2984-4950-AC2B-C788A7CF20A0}"/>
  <tableColumns count="10">
    <tableColumn id="1" xr3:uid="{9C8ED51D-9D8D-4656-9B8C-D86BA6D6FCBC}" name="S.No " dataDxfId="41" totalsRowDxfId="40"/>
    <tableColumn id="2" xr3:uid="{865959C1-FE30-4425-B5C7-99FF6462BB2E}" name="Description of Item" totalsRowLabel="Total" dataDxfId="39" totalsRowDxfId="38"/>
    <tableColumn id="3" xr3:uid="{9E5F164B-3FE3-4C50-8CAF-D29EE51625DD}" name="UOM" dataDxfId="37" totalsRowDxfId="36"/>
    <tableColumn id="4" xr3:uid="{C75FA081-88FD-4089-997C-4DA49FB1B44F}" name="Quantity" dataDxfId="35" totalsRowDxfId="34"/>
    <tableColumn id="5" xr3:uid="{0052BDB8-C1E7-4257-820D-57035B3CD668}" name="Current _x000a_Progress" dataDxfId="33" totalsRowDxfId="32"/>
    <tableColumn id="6" xr3:uid="{0449FF93-891B-4063-A26E-DA82117557FF}" name="Balance _x000a_Quantity" dataDxfId="31" totalsRowDxfId="30">
      <calculatedColumnFormula>D3-E3</calculatedColumnFormula>
    </tableColumn>
    <tableColumn id="7" xr3:uid="{8ABDBE20-C74E-4488-8D14-59CFEDD28379}" name="% Progress " dataDxfId="29" totalsRowDxfId="28" dataCellStyle="Percent">
      <calculatedColumnFormula>E3/D3</calculatedColumnFormula>
    </tableColumn>
    <tableColumn id="10" xr3:uid="{ADFA2407-C34F-4CF1-95B5-8A1BC0D444F6}" name="Scope Progress" dataDxfId="27" totalsRowDxfId="26" dataCellStyle="Percent"/>
    <tableColumn id="8" xr3:uid="{7088B211-5DB5-47A0-9CA9-730E45794D94}" name="Weightage _x000a_factor " totalsRowFunction="custom" dataDxfId="25" totalsRowDxfId="24" dataCellStyle="Percent">
      <totalsRowFormula>SUM(I3:I18)</totalsRowFormula>
    </tableColumn>
    <tableColumn id="9" xr3:uid="{35C68B2A-037B-4530-A091-37D300A4AE1F}" name="Earned _x000a_Progress" totalsRowFunction="custom" dataDxfId="23" totalsRowDxfId="22">
      <calculatedColumnFormula>G3*I3</calculatedColumnFormula>
      <totalsRowFormula>SUM(J3:J18)</totalsRowFormula>
    </tableColumn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FB0A042-C582-4532-93A6-B0F041799918}" name="Table135" displayName="Table135" ref="A2:J18" totalsRowCount="1" headerRowDxfId="21" dataDxfId="20">
  <autoFilter ref="A2:J17" xr:uid="{993682B5-2984-4950-AC2B-C788A7CF20A0}"/>
  <tableColumns count="10">
    <tableColumn id="1" xr3:uid="{2398FE44-1AE4-41AC-8499-32632C5965A0}" name="S.No " dataDxfId="19" totalsRowDxfId="18"/>
    <tableColumn id="2" xr3:uid="{8DEF9DA8-A744-4286-9337-D455381D0983}" name="Description of Item" totalsRowLabel="Total" dataDxfId="17" totalsRowDxfId="16"/>
    <tableColumn id="3" xr3:uid="{D86520DB-58E1-4373-87DF-4BB372FE278C}" name="UOM" dataDxfId="15" totalsRowDxfId="14"/>
    <tableColumn id="4" xr3:uid="{04CBB0CD-28CB-433E-AE46-C8201F13B98F}" name="Scope" dataDxfId="13" totalsRowDxfId="12"/>
    <tableColumn id="5" xr3:uid="{F3D3FD45-66FD-4137-B793-FCFF0EBCFC6B}" name="Current_x000a_Progress" dataDxfId="11" totalsRowDxfId="10"/>
    <tableColumn id="6" xr3:uid="{F9FBDEE7-9B84-46F9-8383-ECE1A396B349}" name="Balance_x000a_Quantity" dataDxfId="9" totalsRowDxfId="8">
      <calculatedColumnFormula>D3-E3</calculatedColumnFormula>
    </tableColumn>
    <tableColumn id="7" xr3:uid="{AC4210C6-FF6C-4404-9F49-7732AD167985}" name="% Progress " dataDxfId="7" totalsRowDxfId="6" dataCellStyle="Percent">
      <calculatedColumnFormula>E3/D3</calculatedColumnFormula>
    </tableColumn>
    <tableColumn id="11" xr3:uid="{EC97D37D-A2C5-4814-9AF1-DDA7E031B59C}" name="Scope Progress" dataDxfId="5" totalsRowDxfId="4" dataCellStyle="Percent"/>
    <tableColumn id="8" xr3:uid="{3F65CE10-7370-4426-A0F3-8201FBD7BA55}" name="Weightage _x000a_factor " totalsRowFunction="custom" dataDxfId="3" totalsRowDxfId="2" dataCellStyle="Percent">
      <totalsRowFormula>SUM(I3:I17)</totalsRowFormula>
    </tableColumn>
    <tableColumn id="9" xr3:uid="{C0719708-F7B4-4961-87E6-860572E87416}" name="Earned _x000a_Progress" totalsRowFunction="custom" dataDxfId="1" totalsRowDxfId="0">
      <calculatedColumnFormula>G3*I3</calculatedColumnFormula>
      <totalsRowFormula>SUM(J3:J17)</totalsRowFormula>
    </tableColumn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9B159-4BA3-4F44-888E-50141FD999F9}">
  <dimension ref="A1:E7"/>
  <sheetViews>
    <sheetView zoomScale="90" zoomScaleNormal="100" workbookViewId="0">
      <selection activeCell="E13" sqref="E13"/>
    </sheetView>
  </sheetViews>
  <sheetFormatPr defaultRowHeight="15"/>
  <cols>
    <col min="1" max="1" width="6.85546875" customWidth="1"/>
    <col min="2" max="2" width="19.140625" customWidth="1"/>
    <col min="3" max="3" width="11.5703125" customWidth="1"/>
    <col min="4" max="4" width="15.5703125" customWidth="1"/>
    <col min="5" max="5" width="18.140625" customWidth="1"/>
  </cols>
  <sheetData>
    <row r="1" spans="1:5" s="26" customFormat="1" ht="15.75">
      <c r="A1" s="32" t="s">
        <v>0</v>
      </c>
      <c r="D1" s="32" t="s">
        <v>1</v>
      </c>
    </row>
    <row r="2" spans="1:5">
      <c r="A2" s="24" t="s">
        <v>2</v>
      </c>
      <c r="B2" s="24" t="s">
        <v>3</v>
      </c>
      <c r="C2" s="24" t="s">
        <v>4</v>
      </c>
      <c r="D2" s="25" t="s">
        <v>5</v>
      </c>
      <c r="E2" s="24" t="s">
        <v>6</v>
      </c>
    </row>
    <row r="3" spans="1:5">
      <c r="A3" s="27">
        <v>1</v>
      </c>
      <c r="B3" s="27" t="s">
        <v>7</v>
      </c>
      <c r="C3" s="31">
        <f>Table134[[#Totals],[Earned 
Progress]]</f>
        <v>0.31732409812409806</v>
      </c>
      <c r="D3" s="29">
        <v>0.4</v>
      </c>
      <c r="E3" s="30">
        <f>C3*D3</f>
        <v>0.12692963924963924</v>
      </c>
    </row>
    <row r="4" spans="1:5">
      <c r="A4" s="27">
        <v>2</v>
      </c>
      <c r="B4" s="27" t="s">
        <v>8</v>
      </c>
      <c r="C4" s="31">
        <f>Table1[[#Totals],[Earned 
Progress]]</f>
        <v>0.45754374950212001</v>
      </c>
      <c r="D4" s="29">
        <v>0.3</v>
      </c>
      <c r="E4" s="30">
        <f t="shared" ref="E4:E6" si="0">C4*D4</f>
        <v>0.13726312485063599</v>
      </c>
    </row>
    <row r="5" spans="1:5">
      <c r="A5" s="27">
        <v>3</v>
      </c>
      <c r="B5" s="27" t="s">
        <v>9</v>
      </c>
      <c r="C5" s="31">
        <f>Table13[[#Totals],[Earned 
Progress]]</f>
        <v>0.27613048637636872</v>
      </c>
      <c r="D5" s="29">
        <v>0.2</v>
      </c>
      <c r="E5" s="30">
        <f t="shared" si="0"/>
        <v>5.522609727527375E-2</v>
      </c>
    </row>
    <row r="6" spans="1:5">
      <c r="A6" s="27">
        <v>4</v>
      </c>
      <c r="B6" s="27" t="s">
        <v>10</v>
      </c>
      <c r="C6" s="31">
        <f>Table135[[#Totals],[Earned 
Progress]]</f>
        <v>0.13492592592592592</v>
      </c>
      <c r="D6" s="29">
        <v>0.1</v>
      </c>
      <c r="E6" s="30">
        <f t="shared" si="0"/>
        <v>1.3492592592592592E-2</v>
      </c>
    </row>
    <row r="7" spans="1:5">
      <c r="A7" s="27"/>
      <c r="B7" s="27" t="s">
        <v>11</v>
      </c>
      <c r="C7" s="28"/>
      <c r="D7" s="29">
        <f>SUM(D3:D6)</f>
        <v>0.99999999999999989</v>
      </c>
      <c r="E7" s="29">
        <f>SUM(E3:E6)</f>
        <v>0.33291145396814159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C8C1-24C2-4630-8123-5374E950138A}">
  <dimension ref="A1:J18"/>
  <sheetViews>
    <sheetView zoomScale="125" zoomScaleNormal="97"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4.7109375" customWidth="1"/>
    <col min="2" max="2" width="42.5703125" customWidth="1"/>
    <col min="3" max="3" width="10.140625" customWidth="1"/>
    <col min="4" max="4" width="8.85546875" customWidth="1"/>
    <col min="5" max="5" width="9.42578125" customWidth="1"/>
    <col min="6" max="6" width="9.140625" customWidth="1"/>
    <col min="7" max="8" width="9.7109375" style="1" customWidth="1"/>
    <col min="9" max="9" width="11" style="1" customWidth="1"/>
  </cols>
  <sheetData>
    <row r="1" spans="1:10" s="26" customFormat="1" ht="15.75">
      <c r="A1" s="26" t="str">
        <f>'S&amp;T_Overall'!A1</f>
        <v>Daily Progress Report-Barsuan Siding(S&amp;T)</v>
      </c>
      <c r="D1" s="26" t="str">
        <f>'S&amp;T_Overall'!D1</f>
        <v>Date:2026</v>
      </c>
    </row>
    <row r="2" spans="1:10" s="6" customFormat="1" ht="30">
      <c r="A2" s="18" t="s">
        <v>12</v>
      </c>
      <c r="B2" s="18" t="s">
        <v>13</v>
      </c>
      <c r="C2" s="18" t="s">
        <v>14</v>
      </c>
      <c r="D2" s="18" t="s">
        <v>15</v>
      </c>
      <c r="E2" s="19" t="s">
        <v>16</v>
      </c>
      <c r="F2" s="19" t="s">
        <v>17</v>
      </c>
      <c r="G2" s="20" t="s">
        <v>18</v>
      </c>
      <c r="H2" s="20" t="s">
        <v>19</v>
      </c>
      <c r="I2" s="20" t="s">
        <v>20</v>
      </c>
      <c r="J2" s="19" t="s">
        <v>21</v>
      </c>
    </row>
    <row r="3" spans="1:10">
      <c r="A3" s="2">
        <v>1</v>
      </c>
      <c r="B3" s="2" t="s">
        <v>22</v>
      </c>
      <c r="C3" s="2" t="s">
        <v>23</v>
      </c>
      <c r="D3" s="2">
        <v>2</v>
      </c>
      <c r="E3" s="2">
        <v>1</v>
      </c>
      <c r="F3" s="2">
        <f t="shared" ref="F3:F17" si="0">D3-E3</f>
        <v>1</v>
      </c>
      <c r="G3" s="10">
        <f t="shared" ref="G3:G17" si="1">E3/D3</f>
        <v>0.5</v>
      </c>
      <c r="H3" s="10">
        <v>1</v>
      </c>
      <c r="I3" s="3">
        <v>0.01</v>
      </c>
      <c r="J3" s="9">
        <f t="shared" ref="J3:J17" si="2">G3*I3</f>
        <v>5.0000000000000001E-3</v>
      </c>
    </row>
    <row r="4" spans="1:10">
      <c r="A4" s="2">
        <v>2</v>
      </c>
      <c r="B4" s="2" t="s">
        <v>24</v>
      </c>
      <c r="C4" s="2" t="s">
        <v>25</v>
      </c>
      <c r="D4" s="2">
        <v>2</v>
      </c>
      <c r="E4" s="2">
        <v>1</v>
      </c>
      <c r="F4" s="2">
        <f t="shared" si="0"/>
        <v>1</v>
      </c>
      <c r="G4" s="10">
        <f t="shared" si="1"/>
        <v>0.5</v>
      </c>
      <c r="H4" s="10">
        <v>1</v>
      </c>
      <c r="I4" s="3">
        <v>0.01</v>
      </c>
      <c r="J4" s="8">
        <f t="shared" si="2"/>
        <v>5.0000000000000001E-3</v>
      </c>
    </row>
    <row r="5" spans="1:10">
      <c r="A5" s="2">
        <v>3</v>
      </c>
      <c r="B5" s="2" t="s">
        <v>26</v>
      </c>
      <c r="C5" s="2" t="s">
        <v>27</v>
      </c>
      <c r="D5" s="2">
        <v>2</v>
      </c>
      <c r="E5" s="2">
        <v>0</v>
      </c>
      <c r="F5" s="2">
        <f t="shared" si="0"/>
        <v>2</v>
      </c>
      <c r="G5" s="10">
        <f t="shared" si="1"/>
        <v>0</v>
      </c>
      <c r="H5" s="10">
        <v>1</v>
      </c>
      <c r="I5" s="3">
        <v>0.01</v>
      </c>
      <c r="J5" s="8">
        <f t="shared" si="2"/>
        <v>0</v>
      </c>
    </row>
    <row r="6" spans="1:10">
      <c r="A6" s="2">
        <v>4</v>
      </c>
      <c r="B6" s="2" t="s">
        <v>28</v>
      </c>
      <c r="C6" s="2" t="s">
        <v>27</v>
      </c>
      <c r="D6" s="2">
        <v>25</v>
      </c>
      <c r="E6" s="2">
        <v>19</v>
      </c>
      <c r="F6" s="2">
        <f t="shared" si="0"/>
        <v>6</v>
      </c>
      <c r="G6" s="10">
        <f t="shared" si="1"/>
        <v>0.76</v>
      </c>
      <c r="H6" s="10">
        <v>1</v>
      </c>
      <c r="I6" s="3">
        <v>0.03</v>
      </c>
      <c r="J6" s="8">
        <f t="shared" si="2"/>
        <v>2.2800000000000001E-2</v>
      </c>
    </row>
    <row r="7" spans="1:10">
      <c r="A7" s="2">
        <v>5</v>
      </c>
      <c r="B7" s="2" t="s">
        <v>29</v>
      </c>
      <c r="C7" s="2" t="s">
        <v>27</v>
      </c>
      <c r="D7" s="2">
        <v>15</v>
      </c>
      <c r="E7" s="2">
        <v>12</v>
      </c>
      <c r="F7" s="2">
        <f t="shared" si="0"/>
        <v>3</v>
      </c>
      <c r="G7" s="10">
        <f t="shared" si="1"/>
        <v>0.8</v>
      </c>
      <c r="H7" s="10">
        <v>1</v>
      </c>
      <c r="I7" s="3">
        <v>0.03</v>
      </c>
      <c r="J7" s="8">
        <f t="shared" si="2"/>
        <v>2.4E-2</v>
      </c>
    </row>
    <row r="8" spans="1:10">
      <c r="A8" s="2">
        <v>6</v>
      </c>
      <c r="B8" s="2" t="s">
        <v>30</v>
      </c>
      <c r="C8" s="2" t="s">
        <v>31</v>
      </c>
      <c r="D8" s="2">
        <v>2</v>
      </c>
      <c r="E8" s="2">
        <v>0</v>
      </c>
      <c r="F8" s="2">
        <f t="shared" si="0"/>
        <v>2</v>
      </c>
      <c r="G8" s="10">
        <f t="shared" si="1"/>
        <v>0</v>
      </c>
      <c r="H8" s="10">
        <v>1</v>
      </c>
      <c r="I8" s="3">
        <v>0.12</v>
      </c>
      <c r="J8" s="8">
        <f t="shared" si="2"/>
        <v>0</v>
      </c>
    </row>
    <row r="9" spans="1:10">
      <c r="A9" s="2">
        <v>7</v>
      </c>
      <c r="B9" s="2" t="s">
        <v>32</v>
      </c>
      <c r="C9" s="2" t="s">
        <v>31</v>
      </c>
      <c r="D9" s="2">
        <v>3</v>
      </c>
      <c r="E9" s="2">
        <v>2</v>
      </c>
      <c r="F9" s="2">
        <f t="shared" si="0"/>
        <v>1</v>
      </c>
      <c r="G9" s="10">
        <f t="shared" si="1"/>
        <v>0.66666666666666663</v>
      </c>
      <c r="H9" s="10">
        <v>1</v>
      </c>
      <c r="I9" s="3">
        <v>0.12</v>
      </c>
      <c r="J9" s="8">
        <f t="shared" si="2"/>
        <v>7.9999999999999988E-2</v>
      </c>
    </row>
    <row r="10" spans="1:10">
      <c r="A10" s="2">
        <v>8</v>
      </c>
      <c r="B10" s="2" t="s">
        <v>33</v>
      </c>
      <c r="C10" s="2" t="s">
        <v>27</v>
      </c>
      <c r="D10" s="2">
        <v>1408</v>
      </c>
      <c r="E10" s="2">
        <v>500</v>
      </c>
      <c r="F10" s="2">
        <f t="shared" si="0"/>
        <v>908</v>
      </c>
      <c r="G10" s="10">
        <f t="shared" si="1"/>
        <v>0.35511363636363635</v>
      </c>
      <c r="H10" s="10">
        <v>1</v>
      </c>
      <c r="I10" s="3">
        <v>0.24</v>
      </c>
      <c r="J10" s="8">
        <f t="shared" si="2"/>
        <v>8.5227272727272721E-2</v>
      </c>
    </row>
    <row r="11" spans="1:10">
      <c r="A11" s="2">
        <v>9</v>
      </c>
      <c r="B11" s="2" t="s">
        <v>34</v>
      </c>
      <c r="C11" s="2" t="s">
        <v>27</v>
      </c>
      <c r="D11" s="2">
        <v>120</v>
      </c>
      <c r="E11" s="2">
        <v>35</v>
      </c>
      <c r="F11" s="2">
        <f t="shared" si="0"/>
        <v>85</v>
      </c>
      <c r="G11" s="10">
        <f t="shared" si="1"/>
        <v>0.29166666666666669</v>
      </c>
      <c r="H11" s="10">
        <v>1</v>
      </c>
      <c r="I11" s="3">
        <v>0.04</v>
      </c>
      <c r="J11" s="8">
        <f t="shared" si="2"/>
        <v>1.1666666666666667E-2</v>
      </c>
    </row>
    <row r="12" spans="1:10">
      <c r="A12" s="2">
        <v>10</v>
      </c>
      <c r="B12" s="2" t="s">
        <v>35</v>
      </c>
      <c r="C12" s="2" t="s">
        <v>31</v>
      </c>
      <c r="D12" s="2">
        <v>3</v>
      </c>
      <c r="E12" s="2">
        <v>0</v>
      </c>
      <c r="F12" s="2">
        <f t="shared" si="0"/>
        <v>3</v>
      </c>
      <c r="G12" s="10">
        <f t="shared" si="1"/>
        <v>0</v>
      </c>
      <c r="H12" s="10">
        <v>1</v>
      </c>
      <c r="I12" s="3">
        <v>0.24</v>
      </c>
      <c r="J12" s="8">
        <f t="shared" si="2"/>
        <v>0</v>
      </c>
    </row>
    <row r="13" spans="1:10">
      <c r="A13" s="2">
        <v>11</v>
      </c>
      <c r="B13" s="2" t="s">
        <v>36</v>
      </c>
      <c r="C13" s="2" t="s">
        <v>37</v>
      </c>
      <c r="D13" s="2">
        <v>560</v>
      </c>
      <c r="E13" s="2">
        <v>300</v>
      </c>
      <c r="F13" s="2">
        <f t="shared" si="0"/>
        <v>260</v>
      </c>
      <c r="G13" s="10">
        <f t="shared" si="1"/>
        <v>0.5357142857142857</v>
      </c>
      <c r="H13" s="10">
        <v>1</v>
      </c>
      <c r="I13" s="3">
        <v>0.05</v>
      </c>
      <c r="J13" s="8">
        <f t="shared" si="2"/>
        <v>2.6785714285714288E-2</v>
      </c>
    </row>
    <row r="14" spans="1:10">
      <c r="A14" s="2">
        <v>12</v>
      </c>
      <c r="B14" s="2" t="s">
        <v>38</v>
      </c>
      <c r="C14" s="2" t="s">
        <v>27</v>
      </c>
      <c r="D14" s="2">
        <v>1</v>
      </c>
      <c r="E14" s="2">
        <v>0</v>
      </c>
      <c r="F14" s="2">
        <f t="shared" si="0"/>
        <v>1</v>
      </c>
      <c r="G14" s="10">
        <f t="shared" si="1"/>
        <v>0</v>
      </c>
      <c r="H14" s="10">
        <v>1</v>
      </c>
      <c r="I14" s="3">
        <v>0.01</v>
      </c>
      <c r="J14" s="8">
        <f t="shared" si="2"/>
        <v>0</v>
      </c>
    </row>
    <row r="15" spans="1:10">
      <c r="A15" s="2">
        <v>13</v>
      </c>
      <c r="B15" s="2" t="s">
        <v>39</v>
      </c>
      <c r="C15" s="2" t="s">
        <v>31</v>
      </c>
      <c r="D15" s="2">
        <v>36</v>
      </c>
      <c r="E15" s="2">
        <v>16</v>
      </c>
      <c r="F15" s="2">
        <f t="shared" si="0"/>
        <v>20</v>
      </c>
      <c r="G15" s="10">
        <f t="shared" si="1"/>
        <v>0.44444444444444442</v>
      </c>
      <c r="H15" s="10">
        <v>1</v>
      </c>
      <c r="I15" s="3">
        <v>0.01</v>
      </c>
      <c r="J15" s="8">
        <f t="shared" si="2"/>
        <v>4.4444444444444444E-3</v>
      </c>
    </row>
    <row r="16" spans="1:10">
      <c r="A16" s="2">
        <v>14</v>
      </c>
      <c r="B16" s="2" t="s">
        <v>40</v>
      </c>
      <c r="C16" s="2" t="s">
        <v>31</v>
      </c>
      <c r="D16" s="2">
        <v>2</v>
      </c>
      <c r="E16" s="2">
        <v>2</v>
      </c>
      <c r="F16" s="2">
        <f t="shared" si="0"/>
        <v>0</v>
      </c>
      <c r="G16" s="10">
        <f t="shared" si="1"/>
        <v>1</v>
      </c>
      <c r="H16" s="10">
        <v>1</v>
      </c>
      <c r="I16" s="3">
        <v>0.05</v>
      </c>
      <c r="J16" s="8">
        <f t="shared" si="2"/>
        <v>0.05</v>
      </c>
    </row>
    <row r="17" spans="1:10">
      <c r="A17" s="2">
        <v>15</v>
      </c>
      <c r="B17" s="2" t="s">
        <v>41</v>
      </c>
      <c r="C17" s="2" t="s">
        <v>27</v>
      </c>
      <c r="D17" s="2">
        <v>25</v>
      </c>
      <c r="E17" s="2">
        <v>2</v>
      </c>
      <c r="F17" s="2">
        <f t="shared" si="0"/>
        <v>23</v>
      </c>
      <c r="G17" s="10">
        <f t="shared" si="1"/>
        <v>0.08</v>
      </c>
      <c r="H17" s="10">
        <v>1</v>
      </c>
      <c r="I17" s="3">
        <v>0.03</v>
      </c>
      <c r="J17" s="8">
        <f t="shared" si="2"/>
        <v>2.3999999999999998E-3</v>
      </c>
    </row>
    <row r="18" spans="1:10">
      <c r="A18" s="2"/>
      <c r="B18" s="2" t="s">
        <v>42</v>
      </c>
      <c r="C18" s="2"/>
      <c r="D18" s="2"/>
      <c r="E18" s="2"/>
      <c r="F18" s="2"/>
      <c r="G18" s="8"/>
      <c r="H18" s="8"/>
      <c r="I18" s="11">
        <f>SUM(I3:I17)</f>
        <v>1</v>
      </c>
      <c r="J18" s="9">
        <f>SUM(J3:J17)</f>
        <v>0.31732409812409806</v>
      </c>
    </row>
  </sheetData>
  <phoneticPr fontId="4" type="noConversion"/>
  <conditionalFormatting sqref="G3:G17">
    <cfRule type="dataBar" priority="1">
      <dataBar>
        <cfvo type="min"/>
        <cfvo type="max"/>
        <color rgb="FF34E038"/>
      </dataBar>
      <extLst>
        <ext xmlns:x14="http://schemas.microsoft.com/office/spreadsheetml/2009/9/main" uri="{B025F937-C7B1-47D3-B67F-A62EFF666E3E}">
          <x14:id>{3927C954-B476-4A89-A620-ADF01787E142}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927C954-B476-4A89-A620-ADF01787E142}">
            <x14:dataBar minLength="0" maxLength="100" direction="leftToRight">
              <x14:cfvo type="autoMin"/>
              <x14:cfvo type="autoMax"/>
              <x14:negativeFillColor rgb="FFFF0000"/>
              <x14:axisColor rgb="FF000000"/>
            </x14:dataBar>
          </x14:cfRule>
          <xm:sqref>G3:G17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115" zoomScaleNormal="115" workbookViewId="0">
      <pane ySplit="2" topLeftCell="A16" activePane="bottomLeft" state="frozen"/>
      <selection pane="bottomLeft" activeCell="B26" sqref="B26"/>
    </sheetView>
  </sheetViews>
  <sheetFormatPr defaultRowHeight="15"/>
  <cols>
    <col min="1" max="1" width="5.140625" style="12" customWidth="1"/>
    <col min="2" max="2" width="40.5703125" style="12" customWidth="1"/>
    <col min="3" max="3" width="13.28515625" style="12" customWidth="1"/>
    <col min="4" max="4" width="9.42578125" style="12" customWidth="1"/>
    <col min="5" max="5" width="10" style="12" customWidth="1"/>
    <col min="6" max="6" width="10.42578125" style="12" customWidth="1"/>
    <col min="7" max="7" width="11.5703125" style="17" customWidth="1"/>
    <col min="8" max="8" width="11.42578125" style="12" customWidth="1"/>
    <col min="9" max="9" width="11.85546875" style="17" customWidth="1"/>
    <col min="10" max="16384" width="9.140625" style="12"/>
  </cols>
  <sheetData>
    <row r="1" spans="1:10" s="26" customFormat="1" ht="15.75">
      <c r="A1" s="26" t="str">
        <f>'S&amp;T_Overall'!A1</f>
        <v>Daily Progress Report-Barsuan Siding(S&amp;T)</v>
      </c>
      <c r="D1" s="26" t="str">
        <f>'S&amp;T_Overall'!D1</f>
        <v>Date:2026</v>
      </c>
    </row>
    <row r="2" spans="1:10" ht="35.25" customHeight="1">
      <c r="A2" s="21" t="s">
        <v>12</v>
      </c>
      <c r="B2" s="21" t="s">
        <v>13</v>
      </c>
      <c r="C2" s="21" t="s">
        <v>14</v>
      </c>
      <c r="D2" s="21" t="s">
        <v>15</v>
      </c>
      <c r="E2" s="21" t="s">
        <v>43</v>
      </c>
      <c r="F2" s="21" t="s">
        <v>17</v>
      </c>
      <c r="G2" s="22" t="s">
        <v>44</v>
      </c>
      <c r="H2" s="22" t="s">
        <v>19</v>
      </c>
      <c r="I2" s="21" t="s">
        <v>20</v>
      </c>
      <c r="J2" s="22" t="s">
        <v>21</v>
      </c>
    </row>
    <row r="3" spans="1:10">
      <c r="A3" s="13">
        <v>1</v>
      </c>
      <c r="B3" s="13" t="s">
        <v>45</v>
      </c>
      <c r="C3" s="13" t="s">
        <v>46</v>
      </c>
      <c r="D3" s="13">
        <v>200</v>
      </c>
      <c r="E3" s="13">
        <v>100</v>
      </c>
      <c r="F3" s="13">
        <f t="shared" ref="F3:F26" si="0">D3-E3</f>
        <v>100</v>
      </c>
      <c r="G3" s="14">
        <f t="shared" ref="G3:G26" si="1">E3/D3</f>
        <v>0.5</v>
      </c>
      <c r="H3" s="14">
        <v>1</v>
      </c>
      <c r="I3" s="14">
        <v>0.25</v>
      </c>
      <c r="J3" s="15">
        <f t="shared" ref="J3:J26" si="2">G3*I3</f>
        <v>0.125</v>
      </c>
    </row>
    <row r="4" spans="1:10">
      <c r="A4" s="13">
        <v>2</v>
      </c>
      <c r="B4" s="13" t="s">
        <v>47</v>
      </c>
      <c r="C4" s="13" t="s">
        <v>27</v>
      </c>
      <c r="D4" s="13">
        <v>36</v>
      </c>
      <c r="E4" s="13">
        <v>34</v>
      </c>
      <c r="F4" s="13">
        <f t="shared" si="0"/>
        <v>2</v>
      </c>
      <c r="G4" s="14">
        <f t="shared" si="1"/>
        <v>0.94444444444444442</v>
      </c>
      <c r="H4" s="14">
        <v>1</v>
      </c>
      <c r="I4" s="14">
        <v>0.02</v>
      </c>
      <c r="J4" s="15">
        <f t="shared" si="2"/>
        <v>1.8888888888888889E-2</v>
      </c>
    </row>
    <row r="5" spans="1:10">
      <c r="A5" s="13">
        <v>3</v>
      </c>
      <c r="B5" s="13" t="s">
        <v>48</v>
      </c>
      <c r="C5" s="13" t="s">
        <v>27</v>
      </c>
      <c r="D5" s="13">
        <v>2</v>
      </c>
      <c r="E5" s="13">
        <v>2</v>
      </c>
      <c r="F5" s="13">
        <f t="shared" si="0"/>
        <v>0</v>
      </c>
      <c r="G5" s="14">
        <f t="shared" si="1"/>
        <v>1</v>
      </c>
      <c r="H5" s="14">
        <v>1</v>
      </c>
      <c r="I5" s="14">
        <v>0.02</v>
      </c>
      <c r="J5" s="15">
        <f t="shared" si="2"/>
        <v>0.02</v>
      </c>
    </row>
    <row r="6" spans="1:10">
      <c r="A6" s="13">
        <v>4</v>
      </c>
      <c r="B6" s="13" t="s">
        <v>49</v>
      </c>
      <c r="C6" s="13" t="s">
        <v>27</v>
      </c>
      <c r="D6" s="13">
        <v>2</v>
      </c>
      <c r="E6" s="13">
        <v>1</v>
      </c>
      <c r="F6" s="13">
        <f t="shared" si="0"/>
        <v>1</v>
      </c>
      <c r="G6" s="14">
        <f>E6/D6</f>
        <v>0.5</v>
      </c>
      <c r="H6" s="14">
        <v>1</v>
      </c>
      <c r="I6" s="14">
        <v>0.02</v>
      </c>
      <c r="J6" s="15">
        <f t="shared" si="2"/>
        <v>0.01</v>
      </c>
    </row>
    <row r="7" spans="1:10">
      <c r="A7" s="13">
        <v>5</v>
      </c>
      <c r="B7" s="13" t="s">
        <v>50</v>
      </c>
      <c r="C7" s="13" t="s">
        <v>27</v>
      </c>
      <c r="D7" s="13">
        <v>38</v>
      </c>
      <c r="E7" s="13">
        <v>23</v>
      </c>
      <c r="F7" s="13">
        <f t="shared" si="0"/>
        <v>15</v>
      </c>
      <c r="G7" s="14">
        <f t="shared" si="1"/>
        <v>0.60526315789473684</v>
      </c>
      <c r="H7" s="14">
        <v>1</v>
      </c>
      <c r="I7" s="14">
        <v>0.01</v>
      </c>
      <c r="J7" s="15">
        <f t="shared" si="2"/>
        <v>6.0526315789473685E-3</v>
      </c>
    </row>
    <row r="8" spans="1:10">
      <c r="A8" s="13">
        <v>6</v>
      </c>
      <c r="B8" s="13" t="s">
        <v>51</v>
      </c>
      <c r="C8" s="13" t="s">
        <v>27</v>
      </c>
      <c r="D8" s="13">
        <v>38</v>
      </c>
      <c r="E8" s="13">
        <v>23</v>
      </c>
      <c r="F8" s="13">
        <f t="shared" si="0"/>
        <v>15</v>
      </c>
      <c r="G8" s="14">
        <f t="shared" si="1"/>
        <v>0.60526315789473684</v>
      </c>
      <c r="H8" s="14">
        <v>1</v>
      </c>
      <c r="I8" s="14">
        <v>0.01</v>
      </c>
      <c r="J8" s="15">
        <f t="shared" si="2"/>
        <v>6.0526315789473685E-3</v>
      </c>
    </row>
    <row r="9" spans="1:10">
      <c r="A9" s="13">
        <v>7</v>
      </c>
      <c r="B9" s="13" t="s">
        <v>52</v>
      </c>
      <c r="C9" s="13" t="s">
        <v>27</v>
      </c>
      <c r="D9" s="13">
        <v>38</v>
      </c>
      <c r="E9" s="13">
        <v>23</v>
      </c>
      <c r="F9" s="13">
        <f t="shared" si="0"/>
        <v>15</v>
      </c>
      <c r="G9" s="14">
        <f t="shared" si="1"/>
        <v>0.60526315789473684</v>
      </c>
      <c r="H9" s="14">
        <v>1</v>
      </c>
      <c r="I9" s="14">
        <v>0.01</v>
      </c>
      <c r="J9" s="15">
        <f t="shared" si="2"/>
        <v>6.0526315789473685E-3</v>
      </c>
    </row>
    <row r="10" spans="1:10">
      <c r="A10" s="13">
        <v>8</v>
      </c>
      <c r="B10" s="13" t="s">
        <v>53</v>
      </c>
      <c r="C10" s="13" t="s">
        <v>27</v>
      </c>
      <c r="D10" s="13">
        <v>2</v>
      </c>
      <c r="E10" s="13">
        <v>2</v>
      </c>
      <c r="F10" s="13">
        <f t="shared" si="0"/>
        <v>0</v>
      </c>
      <c r="G10" s="14">
        <f t="shared" si="1"/>
        <v>1</v>
      </c>
      <c r="H10" s="14">
        <v>1</v>
      </c>
      <c r="I10" s="14">
        <v>0.02</v>
      </c>
      <c r="J10" s="15">
        <f t="shared" si="2"/>
        <v>0.02</v>
      </c>
    </row>
    <row r="11" spans="1:10">
      <c r="A11" s="13">
        <v>9</v>
      </c>
      <c r="B11" s="13" t="s">
        <v>54</v>
      </c>
      <c r="C11" s="13" t="s">
        <v>27</v>
      </c>
      <c r="D11" s="13">
        <v>26</v>
      </c>
      <c r="E11" s="13">
        <v>12</v>
      </c>
      <c r="F11" s="13">
        <f t="shared" si="0"/>
        <v>14</v>
      </c>
      <c r="G11" s="14">
        <f t="shared" si="1"/>
        <v>0.46153846153846156</v>
      </c>
      <c r="H11" s="14">
        <v>1</v>
      </c>
      <c r="I11" s="14">
        <v>0.02</v>
      </c>
      <c r="J11" s="15">
        <f t="shared" si="2"/>
        <v>9.2307692307692316E-3</v>
      </c>
    </row>
    <row r="12" spans="1:10">
      <c r="A12" s="13">
        <v>10</v>
      </c>
      <c r="B12" s="13" t="s">
        <v>55</v>
      </c>
      <c r="C12" s="13" t="s">
        <v>27</v>
      </c>
      <c r="D12" s="13">
        <v>30</v>
      </c>
      <c r="E12" s="13">
        <v>12</v>
      </c>
      <c r="F12" s="13">
        <f t="shared" si="0"/>
        <v>18</v>
      </c>
      <c r="G12" s="14">
        <f t="shared" si="1"/>
        <v>0.4</v>
      </c>
      <c r="H12" s="14">
        <v>1</v>
      </c>
      <c r="I12" s="14">
        <v>0.02</v>
      </c>
      <c r="J12" s="15">
        <f t="shared" si="2"/>
        <v>8.0000000000000002E-3</v>
      </c>
    </row>
    <row r="13" spans="1:10">
      <c r="A13" s="13">
        <v>11</v>
      </c>
      <c r="B13" s="13" t="s">
        <v>56</v>
      </c>
      <c r="C13" s="13" t="s">
        <v>27</v>
      </c>
      <c r="D13" s="13">
        <v>3</v>
      </c>
      <c r="E13" s="13">
        <v>1</v>
      </c>
      <c r="F13" s="13">
        <f t="shared" si="0"/>
        <v>2</v>
      </c>
      <c r="G13" s="14">
        <f t="shared" si="1"/>
        <v>0.33333333333333331</v>
      </c>
      <c r="H13" s="14">
        <v>1</v>
      </c>
      <c r="I13" s="14">
        <v>0.02</v>
      </c>
      <c r="J13" s="15">
        <f t="shared" si="2"/>
        <v>6.6666666666666662E-3</v>
      </c>
    </row>
    <row r="14" spans="1:10">
      <c r="A14" s="13">
        <v>12</v>
      </c>
      <c r="B14" s="13" t="s">
        <v>57</v>
      </c>
      <c r="C14" s="13" t="s">
        <v>27</v>
      </c>
      <c r="D14" s="13">
        <v>40</v>
      </c>
      <c r="E14" s="13">
        <v>23</v>
      </c>
      <c r="F14" s="13">
        <f t="shared" si="0"/>
        <v>17</v>
      </c>
      <c r="G14" s="14">
        <f t="shared" si="1"/>
        <v>0.57499999999999996</v>
      </c>
      <c r="H14" s="14">
        <v>1</v>
      </c>
      <c r="I14" s="14">
        <v>0.02</v>
      </c>
      <c r="J14" s="15">
        <f t="shared" si="2"/>
        <v>1.15E-2</v>
      </c>
    </row>
    <row r="15" spans="1:10">
      <c r="A15" s="13">
        <v>13</v>
      </c>
      <c r="B15" s="13" t="s">
        <v>58</v>
      </c>
      <c r="C15" s="13" t="s">
        <v>27</v>
      </c>
      <c r="D15" s="13">
        <v>25</v>
      </c>
      <c r="E15" s="13">
        <v>2</v>
      </c>
      <c r="F15" s="13">
        <f t="shared" si="0"/>
        <v>23</v>
      </c>
      <c r="G15" s="14">
        <f t="shared" si="1"/>
        <v>0.08</v>
      </c>
      <c r="H15" s="14">
        <v>1</v>
      </c>
      <c r="I15" s="14">
        <v>0.02</v>
      </c>
      <c r="J15" s="15">
        <f t="shared" si="2"/>
        <v>1.6000000000000001E-3</v>
      </c>
    </row>
    <row r="16" spans="1:10">
      <c r="A16" s="13">
        <v>14</v>
      </c>
      <c r="B16" s="13" t="s">
        <v>59</v>
      </c>
      <c r="C16" s="13" t="s">
        <v>27</v>
      </c>
      <c r="D16" s="13">
        <v>4</v>
      </c>
      <c r="E16" s="13">
        <v>3</v>
      </c>
      <c r="F16" s="13">
        <f t="shared" si="0"/>
        <v>1</v>
      </c>
      <c r="G16" s="14">
        <f t="shared" si="1"/>
        <v>0.75</v>
      </c>
      <c r="H16" s="14">
        <v>1</v>
      </c>
      <c r="I16" s="14">
        <v>0.02</v>
      </c>
      <c r="J16" s="15">
        <f t="shared" si="2"/>
        <v>1.4999999999999999E-2</v>
      </c>
    </row>
    <row r="17" spans="1:10">
      <c r="A17" s="13">
        <v>15</v>
      </c>
      <c r="B17" s="13" t="s">
        <v>60</v>
      </c>
      <c r="C17" s="13" t="s">
        <v>27</v>
      </c>
      <c r="D17" s="13">
        <v>171</v>
      </c>
      <c r="E17" s="13">
        <v>134</v>
      </c>
      <c r="F17" s="13">
        <f t="shared" si="0"/>
        <v>37</v>
      </c>
      <c r="G17" s="14">
        <f t="shared" si="1"/>
        <v>0.783625730994152</v>
      </c>
      <c r="H17" s="14">
        <v>1</v>
      </c>
      <c r="I17" s="14">
        <v>0.02</v>
      </c>
      <c r="J17" s="15">
        <f t="shared" si="2"/>
        <v>1.5672514619883039E-2</v>
      </c>
    </row>
    <row r="18" spans="1:10">
      <c r="A18" s="13">
        <v>16</v>
      </c>
      <c r="B18" s="13" t="s">
        <v>61</v>
      </c>
      <c r="C18" s="13" t="s">
        <v>27</v>
      </c>
      <c r="D18" s="13">
        <v>6</v>
      </c>
      <c r="E18" s="13">
        <v>4</v>
      </c>
      <c r="F18" s="13">
        <f t="shared" si="0"/>
        <v>2</v>
      </c>
      <c r="G18" s="14">
        <f t="shared" si="1"/>
        <v>0.66666666666666663</v>
      </c>
      <c r="H18" s="14">
        <v>1</v>
      </c>
      <c r="I18" s="14">
        <v>0.01</v>
      </c>
      <c r="J18" s="15">
        <f t="shared" si="2"/>
        <v>6.6666666666666662E-3</v>
      </c>
    </row>
    <row r="19" spans="1:10">
      <c r="A19" s="13">
        <v>17</v>
      </c>
      <c r="B19" s="13" t="s">
        <v>62</v>
      </c>
      <c r="C19" s="13" t="s">
        <v>31</v>
      </c>
      <c r="D19" s="13">
        <v>250</v>
      </c>
      <c r="E19" s="13">
        <v>223</v>
      </c>
      <c r="F19" s="13">
        <f t="shared" si="0"/>
        <v>27</v>
      </c>
      <c r="G19" s="14">
        <f t="shared" si="1"/>
        <v>0.89200000000000002</v>
      </c>
      <c r="H19" s="14">
        <v>1</v>
      </c>
      <c r="I19" s="14">
        <v>0.01</v>
      </c>
      <c r="J19" s="15">
        <f t="shared" si="2"/>
        <v>8.9200000000000008E-3</v>
      </c>
    </row>
    <row r="20" spans="1:10">
      <c r="A20" s="13">
        <v>18</v>
      </c>
      <c r="B20" s="13" t="s">
        <v>63</v>
      </c>
      <c r="C20" s="13" t="s">
        <v>31</v>
      </c>
      <c r="D20" s="13">
        <v>2</v>
      </c>
      <c r="E20" s="13">
        <v>2</v>
      </c>
      <c r="F20" s="13">
        <f t="shared" si="0"/>
        <v>0</v>
      </c>
      <c r="G20" s="14">
        <f t="shared" si="1"/>
        <v>1</v>
      </c>
      <c r="H20" s="14">
        <v>1</v>
      </c>
      <c r="I20" s="14">
        <v>0.05</v>
      </c>
      <c r="J20" s="15">
        <f t="shared" si="2"/>
        <v>0.05</v>
      </c>
    </row>
    <row r="21" spans="1:10">
      <c r="A21" s="13">
        <v>19</v>
      </c>
      <c r="B21" s="13" t="s">
        <v>64</v>
      </c>
      <c r="C21" s="13" t="s">
        <v>31</v>
      </c>
      <c r="D21" s="13">
        <v>2</v>
      </c>
      <c r="E21" s="13">
        <v>2</v>
      </c>
      <c r="F21" s="13">
        <f t="shared" si="0"/>
        <v>0</v>
      </c>
      <c r="G21" s="14">
        <f t="shared" si="1"/>
        <v>1</v>
      </c>
      <c r="H21" s="14">
        <v>1</v>
      </c>
      <c r="I21" s="14">
        <v>0.05</v>
      </c>
      <c r="J21" s="15">
        <f t="shared" si="2"/>
        <v>0.05</v>
      </c>
    </row>
    <row r="22" spans="1:10">
      <c r="A22" s="13">
        <v>20</v>
      </c>
      <c r="B22" s="13" t="s">
        <v>65</v>
      </c>
      <c r="C22" s="13" t="s">
        <v>27</v>
      </c>
      <c r="D22" s="13">
        <v>110</v>
      </c>
      <c r="E22" s="13">
        <v>12</v>
      </c>
      <c r="F22" s="13">
        <f t="shared" si="0"/>
        <v>98</v>
      </c>
      <c r="G22" s="14">
        <f t="shared" si="1"/>
        <v>0.10909090909090909</v>
      </c>
      <c r="H22" s="14">
        <v>1</v>
      </c>
      <c r="I22" s="14">
        <v>0.15</v>
      </c>
      <c r="J22" s="15">
        <f t="shared" si="2"/>
        <v>1.6363636363636361E-2</v>
      </c>
    </row>
    <row r="23" spans="1:10">
      <c r="A23" s="13">
        <v>21</v>
      </c>
      <c r="B23" s="13" t="s">
        <v>66</v>
      </c>
      <c r="C23" s="13" t="s">
        <v>27</v>
      </c>
      <c r="D23" s="13">
        <v>73</v>
      </c>
      <c r="E23" s="13">
        <v>12</v>
      </c>
      <c r="F23" s="13">
        <f t="shared" si="0"/>
        <v>61</v>
      </c>
      <c r="G23" s="14">
        <f t="shared" si="1"/>
        <v>0.16438356164383561</v>
      </c>
      <c r="H23" s="14">
        <v>1</v>
      </c>
      <c r="I23" s="14">
        <v>0.2</v>
      </c>
      <c r="J23" s="15">
        <f t="shared" si="2"/>
        <v>3.287671232876712E-2</v>
      </c>
    </row>
    <row r="24" spans="1:10">
      <c r="A24" s="13">
        <v>22</v>
      </c>
      <c r="B24" s="13" t="s">
        <v>67</v>
      </c>
      <c r="C24" s="13" t="s">
        <v>27</v>
      </c>
      <c r="D24" s="13">
        <v>10</v>
      </c>
      <c r="E24" s="13">
        <v>1</v>
      </c>
      <c r="F24" s="13">
        <f t="shared" si="0"/>
        <v>9</v>
      </c>
      <c r="G24" s="14">
        <f t="shared" si="1"/>
        <v>0.1</v>
      </c>
      <c r="H24" s="14">
        <v>1</v>
      </c>
      <c r="I24" s="14">
        <v>0.01</v>
      </c>
      <c r="J24" s="15">
        <f t="shared" si="2"/>
        <v>1E-3</v>
      </c>
    </row>
    <row r="25" spans="1:10">
      <c r="A25" s="13">
        <v>23</v>
      </c>
      <c r="B25" s="13" t="s">
        <v>68</v>
      </c>
      <c r="C25" s="13" t="s">
        <v>37</v>
      </c>
      <c r="D25" s="13">
        <v>500</v>
      </c>
      <c r="E25" s="13">
        <v>400</v>
      </c>
      <c r="F25" s="13">
        <f t="shared" si="0"/>
        <v>100</v>
      </c>
      <c r="G25" s="14">
        <f t="shared" si="1"/>
        <v>0.8</v>
      </c>
      <c r="H25" s="14">
        <v>1</v>
      </c>
      <c r="I25" s="14">
        <v>0.01</v>
      </c>
      <c r="J25" s="15">
        <f t="shared" si="2"/>
        <v>8.0000000000000002E-3</v>
      </c>
    </row>
    <row r="26" spans="1:10">
      <c r="A26" s="13">
        <v>24</v>
      </c>
      <c r="B26" s="13" t="s">
        <v>69</v>
      </c>
      <c r="C26" s="13" t="s">
        <v>37</v>
      </c>
      <c r="D26" s="13">
        <v>750</v>
      </c>
      <c r="E26" s="13">
        <v>300</v>
      </c>
      <c r="F26" s="13">
        <f t="shared" si="0"/>
        <v>450</v>
      </c>
      <c r="G26" s="14">
        <f t="shared" si="1"/>
        <v>0.4</v>
      </c>
      <c r="H26" s="14">
        <v>1</v>
      </c>
      <c r="I26" s="14">
        <v>0.01</v>
      </c>
      <c r="J26" s="15">
        <f t="shared" si="2"/>
        <v>4.0000000000000001E-3</v>
      </c>
    </row>
    <row r="27" spans="1:10">
      <c r="A27" s="13"/>
      <c r="B27" s="13" t="s">
        <v>42</v>
      </c>
      <c r="C27" s="13"/>
      <c r="D27" s="13"/>
      <c r="E27" s="13"/>
      <c r="F27" s="13"/>
      <c r="G27" s="16"/>
      <c r="H27" s="16"/>
      <c r="I27" s="16">
        <f>SUM(I3:I26)</f>
        <v>1.0000000000000004</v>
      </c>
      <c r="J27" s="16">
        <f>SUM(J3:J26)</f>
        <v>0.45754374950212001</v>
      </c>
    </row>
  </sheetData>
  <phoneticPr fontId="4" type="noConversion"/>
  <conditionalFormatting sqref="G3:G26">
    <cfRule type="dataBar" priority="1">
      <dataBar>
        <cfvo type="min"/>
        <cfvo type="max"/>
        <color rgb="FF34E038"/>
      </dataBar>
      <extLst>
        <ext xmlns:x14="http://schemas.microsoft.com/office/spreadsheetml/2009/9/main" uri="{B025F937-C7B1-47D3-B67F-A62EFF666E3E}">
          <x14:id>{E44AB51E-C5D0-425F-9B27-A0C7A8A637A5}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44AB51E-C5D0-425F-9B27-A0C7A8A637A5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G3:G26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72881-7E0B-4C17-A422-9AA473B2C809}">
  <dimension ref="A1:J19"/>
  <sheetViews>
    <sheetView tabSelected="1" zoomScale="119" zoomScaleNormal="62" workbookViewId="0">
      <pane ySplit="2" topLeftCell="A3" activePane="bottomLeft" state="frozen"/>
      <selection pane="bottomLeft" activeCell="B4" sqref="B4"/>
    </sheetView>
  </sheetViews>
  <sheetFormatPr defaultRowHeight="15"/>
  <cols>
    <col min="1" max="1" width="4.85546875" customWidth="1"/>
    <col min="2" max="2" width="46.85546875" customWidth="1"/>
    <col min="3" max="3" width="11.7109375" customWidth="1"/>
    <col min="4" max="4" width="9.42578125" customWidth="1"/>
    <col min="5" max="6" width="10.42578125" customWidth="1"/>
    <col min="7" max="8" width="11.42578125" style="1" customWidth="1"/>
    <col min="9" max="9" width="11.5703125" style="1" customWidth="1"/>
    <col min="10" max="10" width="11" customWidth="1"/>
  </cols>
  <sheetData>
    <row r="1" spans="1:10" s="26" customFormat="1" ht="15.75">
      <c r="A1" s="26" t="str">
        <f>'S&amp;T_Overall'!A1</f>
        <v>Daily Progress Report-Barsuan Siding(S&amp;T)</v>
      </c>
      <c r="D1" s="26" t="str">
        <f>'S&amp;T_Overall'!D1</f>
        <v>Date:2026</v>
      </c>
    </row>
    <row r="2" spans="1:10" s="6" customFormat="1" ht="30">
      <c r="A2" s="18" t="s">
        <v>12</v>
      </c>
      <c r="B2" s="18" t="s">
        <v>13</v>
      </c>
      <c r="C2" s="18" t="s">
        <v>14</v>
      </c>
      <c r="D2" s="18" t="s">
        <v>15</v>
      </c>
      <c r="E2" s="19" t="s">
        <v>43</v>
      </c>
      <c r="F2" s="19" t="s">
        <v>17</v>
      </c>
      <c r="G2" s="23" t="s">
        <v>44</v>
      </c>
      <c r="H2" s="20" t="s">
        <v>19</v>
      </c>
      <c r="I2" s="20" t="s">
        <v>20</v>
      </c>
      <c r="J2" s="19" t="s">
        <v>21</v>
      </c>
    </row>
    <row r="3" spans="1:10">
      <c r="A3" s="2">
        <v>1</v>
      </c>
      <c r="B3" s="4" t="s">
        <v>70</v>
      </c>
      <c r="C3" s="2" t="s">
        <v>37</v>
      </c>
      <c r="D3" s="2">
        <v>2000</v>
      </c>
      <c r="E3" s="2">
        <v>1800</v>
      </c>
      <c r="F3" s="2">
        <f t="shared" ref="F3:F18" si="0">D3-E3</f>
        <v>200</v>
      </c>
      <c r="G3" s="3">
        <f t="shared" ref="G3:G18" si="1">E3/D3</f>
        <v>0.9</v>
      </c>
      <c r="H3" s="3">
        <v>1</v>
      </c>
      <c r="I3" s="3">
        <v>0.02</v>
      </c>
      <c r="J3" s="9">
        <f t="shared" ref="J3:J18" si="2">G3*I3</f>
        <v>1.8000000000000002E-2</v>
      </c>
    </row>
    <row r="4" spans="1:10">
      <c r="A4" s="2">
        <v>2</v>
      </c>
      <c r="B4" s="2" t="s">
        <v>71</v>
      </c>
      <c r="C4" s="2" t="s">
        <v>72</v>
      </c>
      <c r="D4" s="2">
        <v>10</v>
      </c>
      <c r="E4" s="2">
        <v>4</v>
      </c>
      <c r="F4" s="2">
        <f t="shared" si="0"/>
        <v>6</v>
      </c>
      <c r="G4" s="3">
        <f t="shared" si="1"/>
        <v>0.4</v>
      </c>
      <c r="H4" s="3">
        <v>1</v>
      </c>
      <c r="I4" s="3">
        <v>0.02</v>
      </c>
      <c r="J4" s="9">
        <f t="shared" si="2"/>
        <v>8.0000000000000002E-3</v>
      </c>
    </row>
    <row r="5" spans="1:10">
      <c r="A5" s="2">
        <v>3</v>
      </c>
      <c r="B5" s="2" t="s">
        <v>73</v>
      </c>
      <c r="C5" s="2" t="s">
        <v>72</v>
      </c>
      <c r="D5" s="2">
        <v>150</v>
      </c>
      <c r="E5" s="2">
        <v>40</v>
      </c>
      <c r="F5" s="2">
        <f t="shared" si="0"/>
        <v>110</v>
      </c>
      <c r="G5" s="3">
        <f t="shared" si="1"/>
        <v>0.26666666666666666</v>
      </c>
      <c r="H5" s="3">
        <v>1</v>
      </c>
      <c r="I5" s="3">
        <v>0.02</v>
      </c>
      <c r="J5" s="9">
        <f t="shared" si="2"/>
        <v>5.3333333333333332E-3</v>
      </c>
    </row>
    <row r="6" spans="1:10">
      <c r="A6" s="2">
        <v>4</v>
      </c>
      <c r="B6" s="2" t="s">
        <v>74</v>
      </c>
      <c r="C6" s="2" t="s">
        <v>72</v>
      </c>
      <c r="D6" s="2">
        <v>20</v>
      </c>
      <c r="E6" s="2">
        <v>20</v>
      </c>
      <c r="F6" s="2">
        <f t="shared" si="0"/>
        <v>0</v>
      </c>
      <c r="G6" s="3">
        <f t="shared" si="1"/>
        <v>1</v>
      </c>
      <c r="H6" s="3">
        <v>1</v>
      </c>
      <c r="I6" s="3">
        <v>0.02</v>
      </c>
      <c r="J6" s="9">
        <f t="shared" si="2"/>
        <v>0.02</v>
      </c>
    </row>
    <row r="7" spans="1:10">
      <c r="A7" s="2">
        <v>5</v>
      </c>
      <c r="B7" s="2" t="s">
        <v>75</v>
      </c>
      <c r="C7" s="2" t="s">
        <v>72</v>
      </c>
      <c r="D7" s="2">
        <v>30</v>
      </c>
      <c r="E7" s="2">
        <v>20</v>
      </c>
      <c r="F7" s="2">
        <f t="shared" si="0"/>
        <v>10</v>
      </c>
      <c r="G7" s="3">
        <f t="shared" si="1"/>
        <v>0.66666666666666663</v>
      </c>
      <c r="H7" s="3">
        <v>1</v>
      </c>
      <c r="I7" s="3">
        <v>0.02</v>
      </c>
      <c r="J7" s="9">
        <f t="shared" si="2"/>
        <v>1.3333333333333332E-2</v>
      </c>
    </row>
    <row r="8" spans="1:10">
      <c r="A8" s="2">
        <v>6</v>
      </c>
      <c r="B8" s="2" t="s">
        <v>76</v>
      </c>
      <c r="C8" s="2" t="s">
        <v>72</v>
      </c>
      <c r="D8" s="2">
        <v>10</v>
      </c>
      <c r="E8" s="2">
        <v>10</v>
      </c>
      <c r="F8" s="2">
        <f t="shared" si="0"/>
        <v>0</v>
      </c>
      <c r="G8" s="3">
        <f t="shared" si="1"/>
        <v>1</v>
      </c>
      <c r="H8" s="3">
        <v>1</v>
      </c>
      <c r="I8" s="3">
        <v>0.02</v>
      </c>
      <c r="J8" s="9">
        <f t="shared" si="2"/>
        <v>0.02</v>
      </c>
    </row>
    <row r="9" spans="1:10">
      <c r="A9" s="2">
        <v>7</v>
      </c>
      <c r="B9" s="2" t="s">
        <v>77</v>
      </c>
      <c r="C9" s="2" t="s">
        <v>72</v>
      </c>
      <c r="D9" s="2">
        <v>15</v>
      </c>
      <c r="E9" s="2">
        <v>15</v>
      </c>
      <c r="F9" s="2">
        <f t="shared" si="0"/>
        <v>0</v>
      </c>
      <c r="G9" s="3">
        <f t="shared" si="1"/>
        <v>1</v>
      </c>
      <c r="H9" s="3">
        <v>1</v>
      </c>
      <c r="I9" s="3">
        <v>0.02</v>
      </c>
      <c r="J9" s="9">
        <f t="shared" si="2"/>
        <v>0.02</v>
      </c>
    </row>
    <row r="10" spans="1:10">
      <c r="A10" s="2">
        <v>8</v>
      </c>
      <c r="B10" s="2" t="s">
        <v>78</v>
      </c>
      <c r="C10" s="2" t="s">
        <v>27</v>
      </c>
      <c r="D10" s="2">
        <v>110</v>
      </c>
      <c r="E10" s="2">
        <v>50</v>
      </c>
      <c r="F10" s="2">
        <f t="shared" si="0"/>
        <v>60</v>
      </c>
      <c r="G10" s="3">
        <f t="shared" si="1"/>
        <v>0.45454545454545453</v>
      </c>
      <c r="H10" s="3">
        <v>1</v>
      </c>
      <c r="I10" s="3">
        <v>0.06</v>
      </c>
      <c r="J10" s="9">
        <f t="shared" si="2"/>
        <v>2.7272727272727271E-2</v>
      </c>
    </row>
    <row r="11" spans="1:10">
      <c r="A11" s="2">
        <v>9</v>
      </c>
      <c r="B11" s="2" t="s">
        <v>79</v>
      </c>
      <c r="C11" s="2" t="s">
        <v>72</v>
      </c>
      <c r="D11" s="2">
        <v>1</v>
      </c>
      <c r="E11" s="2">
        <v>1</v>
      </c>
      <c r="F11" s="2">
        <f t="shared" si="0"/>
        <v>0</v>
      </c>
      <c r="G11" s="3">
        <f t="shared" si="1"/>
        <v>1</v>
      </c>
      <c r="H11" s="3">
        <v>1</v>
      </c>
      <c r="I11" s="3">
        <v>0.02</v>
      </c>
      <c r="J11" s="9">
        <f t="shared" si="2"/>
        <v>0.02</v>
      </c>
    </row>
    <row r="12" spans="1:10">
      <c r="A12" s="2">
        <v>10</v>
      </c>
      <c r="B12" s="2" t="s">
        <v>80</v>
      </c>
      <c r="C12" s="2" t="s">
        <v>72</v>
      </c>
      <c r="D12" s="2">
        <v>3</v>
      </c>
      <c r="E12" s="2">
        <v>0</v>
      </c>
      <c r="F12" s="2">
        <f t="shared" si="0"/>
        <v>3</v>
      </c>
      <c r="G12" s="3">
        <f t="shared" si="1"/>
        <v>0</v>
      </c>
      <c r="H12" s="3">
        <v>1</v>
      </c>
      <c r="I12" s="3">
        <v>0.02</v>
      </c>
      <c r="J12" s="9">
        <f t="shared" si="2"/>
        <v>0</v>
      </c>
    </row>
    <row r="13" spans="1:10">
      <c r="A13" s="2">
        <v>11</v>
      </c>
      <c r="B13" s="2" t="s">
        <v>81</v>
      </c>
      <c r="C13" s="2" t="s">
        <v>72</v>
      </c>
      <c r="D13" s="2">
        <v>210</v>
      </c>
      <c r="E13" s="2">
        <v>24</v>
      </c>
      <c r="F13" s="2">
        <f t="shared" si="0"/>
        <v>186</v>
      </c>
      <c r="G13" s="3">
        <f t="shared" si="1"/>
        <v>0.11428571428571428</v>
      </c>
      <c r="H13" s="3">
        <v>1</v>
      </c>
      <c r="I13" s="3">
        <v>0.4</v>
      </c>
      <c r="J13" s="9">
        <f t="shared" si="2"/>
        <v>4.5714285714285714E-2</v>
      </c>
    </row>
    <row r="14" spans="1:10">
      <c r="A14" s="2">
        <v>12</v>
      </c>
      <c r="B14" s="2" t="s">
        <v>82</v>
      </c>
      <c r="C14" s="2" t="s">
        <v>37</v>
      </c>
      <c r="D14" s="2">
        <v>2500</v>
      </c>
      <c r="E14" s="2">
        <v>120</v>
      </c>
      <c r="F14" s="2">
        <f t="shared" si="0"/>
        <v>2380</v>
      </c>
      <c r="G14" s="3">
        <f t="shared" si="1"/>
        <v>4.8000000000000001E-2</v>
      </c>
      <c r="H14" s="3">
        <v>1</v>
      </c>
      <c r="I14" s="3">
        <v>0.02</v>
      </c>
      <c r="J14" s="9">
        <f t="shared" si="2"/>
        <v>9.6000000000000002E-4</v>
      </c>
    </row>
    <row r="15" spans="1:10">
      <c r="A15" s="2">
        <v>13</v>
      </c>
      <c r="B15" s="2" t="s">
        <v>83</v>
      </c>
      <c r="C15" s="2" t="s">
        <v>72</v>
      </c>
      <c r="D15" s="2">
        <v>3</v>
      </c>
      <c r="E15" s="2">
        <v>1</v>
      </c>
      <c r="F15" s="2">
        <f t="shared" si="0"/>
        <v>2</v>
      </c>
      <c r="G15" s="3">
        <f t="shared" si="1"/>
        <v>0.33333333333333331</v>
      </c>
      <c r="H15" s="3">
        <v>1</v>
      </c>
      <c r="I15" s="3">
        <v>0.15</v>
      </c>
      <c r="J15" s="9">
        <f t="shared" si="2"/>
        <v>4.9999999999999996E-2</v>
      </c>
    </row>
    <row r="16" spans="1:10">
      <c r="A16" s="2">
        <v>14</v>
      </c>
      <c r="B16" s="2" t="s">
        <v>84</v>
      </c>
      <c r="C16" s="2" t="s">
        <v>85</v>
      </c>
      <c r="D16" s="2">
        <v>420</v>
      </c>
      <c r="E16" s="2">
        <v>23</v>
      </c>
      <c r="F16" s="2">
        <f t="shared" si="0"/>
        <v>397</v>
      </c>
      <c r="G16" s="3">
        <f t="shared" si="1"/>
        <v>5.4761904761904762E-2</v>
      </c>
      <c r="H16" s="3">
        <v>1</v>
      </c>
      <c r="I16" s="3">
        <v>0.02</v>
      </c>
      <c r="J16" s="9">
        <f t="shared" si="2"/>
        <v>1.0952380952380953E-3</v>
      </c>
    </row>
    <row r="17" spans="1:10">
      <c r="A17" s="2">
        <v>15</v>
      </c>
      <c r="B17" s="2" t="s">
        <v>86</v>
      </c>
      <c r="C17" s="2" t="s">
        <v>37</v>
      </c>
      <c r="D17" s="2">
        <v>1224</v>
      </c>
      <c r="E17" s="2">
        <v>134</v>
      </c>
      <c r="F17" s="2">
        <f t="shared" si="0"/>
        <v>1090</v>
      </c>
      <c r="G17" s="3">
        <f t="shared" si="1"/>
        <v>0.10947712418300654</v>
      </c>
      <c r="H17" s="3">
        <v>1</v>
      </c>
      <c r="I17" s="3">
        <v>0.15</v>
      </c>
      <c r="J17" s="9">
        <f t="shared" si="2"/>
        <v>1.6421568627450981E-2</v>
      </c>
    </row>
    <row r="18" spans="1:10">
      <c r="A18" s="2">
        <v>16</v>
      </c>
      <c r="B18" s="2" t="s">
        <v>87</v>
      </c>
      <c r="C18" s="2" t="s">
        <v>72</v>
      </c>
      <c r="D18" s="2">
        <v>10</v>
      </c>
      <c r="E18" s="2">
        <v>5</v>
      </c>
      <c r="F18" s="2">
        <f t="shared" si="0"/>
        <v>5</v>
      </c>
      <c r="G18" s="3">
        <f t="shared" si="1"/>
        <v>0.5</v>
      </c>
      <c r="H18" s="3">
        <v>1</v>
      </c>
      <c r="I18" s="3">
        <v>0.02</v>
      </c>
      <c r="J18" s="9">
        <f t="shared" si="2"/>
        <v>0.01</v>
      </c>
    </row>
    <row r="19" spans="1:10">
      <c r="A19" s="2"/>
      <c r="B19" s="2" t="s">
        <v>42</v>
      </c>
      <c r="C19" s="2"/>
      <c r="D19" s="2"/>
      <c r="E19" s="2"/>
      <c r="F19" s="2"/>
      <c r="G19" s="8"/>
      <c r="H19" s="8"/>
      <c r="I19" s="8">
        <f>SUM(I3:I18)</f>
        <v>1</v>
      </c>
      <c r="J19" s="9">
        <f>SUM(J3:J18)</f>
        <v>0.27613048637636872</v>
      </c>
    </row>
  </sheetData>
  <phoneticPr fontId="4" type="noConversion"/>
  <conditionalFormatting sqref="G3:G18">
    <cfRule type="dataBar" priority="1">
      <dataBar>
        <cfvo type="min"/>
        <cfvo type="max"/>
        <color rgb="FF34E038"/>
      </dataBar>
      <extLst>
        <ext xmlns:x14="http://schemas.microsoft.com/office/spreadsheetml/2009/9/main" uri="{B025F937-C7B1-47D3-B67F-A62EFF666E3E}">
          <x14:id>{AB57E019-B0BF-4264-A0D8-D41290149021}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B57E019-B0BF-4264-A0D8-D41290149021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G3:G18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FC697-E746-4E0C-B723-9E20BE647EDA}">
  <dimension ref="A1:J18"/>
  <sheetViews>
    <sheetView zoomScale="115" zoomScaleNormal="55" workbookViewId="0">
      <pane ySplit="2" topLeftCell="A5" activePane="bottomLeft" state="frozen"/>
      <selection pane="bottomLeft" activeCell="B15" sqref="B15"/>
    </sheetView>
  </sheetViews>
  <sheetFormatPr defaultRowHeight="15"/>
  <cols>
    <col min="1" max="1" width="4.42578125" customWidth="1"/>
    <col min="2" max="2" width="57.140625" customWidth="1"/>
    <col min="3" max="3" width="11.7109375" customWidth="1"/>
    <col min="4" max="4" width="9" customWidth="1"/>
    <col min="5" max="5" width="9.28515625" customWidth="1"/>
    <col min="6" max="6" width="8.7109375" customWidth="1"/>
    <col min="7" max="8" width="10.28515625" style="7" customWidth="1"/>
    <col min="9" max="9" width="9.85546875" style="1" customWidth="1"/>
    <col min="10" max="10" width="11.140625" customWidth="1"/>
  </cols>
  <sheetData>
    <row r="1" spans="1:10" s="26" customFormat="1" ht="15.75">
      <c r="A1" s="26" t="str">
        <f>'S&amp;T_Overall'!A1</f>
        <v>Daily Progress Report-Barsuan Siding(S&amp;T)</v>
      </c>
      <c r="D1" s="26" t="str">
        <f>'S&amp;T_Overall'!D1</f>
        <v>Date:2026</v>
      </c>
    </row>
    <row r="2" spans="1:10" s="6" customFormat="1" ht="28.5" customHeight="1">
      <c r="A2" s="18" t="s">
        <v>12</v>
      </c>
      <c r="B2" s="18" t="s">
        <v>13</v>
      </c>
      <c r="C2" s="18" t="s">
        <v>14</v>
      </c>
      <c r="D2" s="18" t="s">
        <v>88</v>
      </c>
      <c r="E2" s="19" t="s">
        <v>89</v>
      </c>
      <c r="F2" s="19" t="s">
        <v>90</v>
      </c>
      <c r="G2" s="23" t="s">
        <v>44</v>
      </c>
      <c r="H2" s="20" t="s">
        <v>19</v>
      </c>
      <c r="I2" s="20" t="s">
        <v>20</v>
      </c>
      <c r="J2" s="19" t="s">
        <v>21</v>
      </c>
    </row>
    <row r="3" spans="1:10">
      <c r="A3" s="2">
        <v>1</v>
      </c>
      <c r="B3" s="4" t="s">
        <v>91</v>
      </c>
      <c r="C3" s="2" t="s">
        <v>27</v>
      </c>
      <c r="D3" s="2">
        <v>24</v>
      </c>
      <c r="E3" s="2">
        <v>13</v>
      </c>
      <c r="F3" s="2">
        <f t="shared" ref="F3:F17" si="0">D3-E3</f>
        <v>11</v>
      </c>
      <c r="G3" s="3">
        <f t="shared" ref="G3:G17" si="1">E3/D3</f>
        <v>0.54166666666666663</v>
      </c>
      <c r="H3" s="3">
        <v>1</v>
      </c>
      <c r="I3" s="3">
        <v>0.01</v>
      </c>
      <c r="J3" s="9">
        <f t="shared" ref="J3:J17" si="2">G3*I3</f>
        <v>5.416666666666666E-3</v>
      </c>
    </row>
    <row r="4" spans="1:10">
      <c r="A4" s="2">
        <v>2</v>
      </c>
      <c r="B4" s="4" t="s">
        <v>92</v>
      </c>
      <c r="C4" s="2" t="s">
        <v>27</v>
      </c>
      <c r="D4" s="2">
        <v>1</v>
      </c>
      <c r="E4" s="2">
        <v>0</v>
      </c>
      <c r="F4" s="2">
        <f t="shared" si="0"/>
        <v>1</v>
      </c>
      <c r="G4" s="3">
        <f t="shared" si="1"/>
        <v>0</v>
      </c>
      <c r="H4" s="3">
        <v>1</v>
      </c>
      <c r="I4" s="3">
        <v>0.15</v>
      </c>
      <c r="J4" s="9">
        <f t="shared" si="2"/>
        <v>0</v>
      </c>
    </row>
    <row r="5" spans="1:10" ht="31.5">
      <c r="A5" s="2">
        <v>3</v>
      </c>
      <c r="B5" s="5" t="s">
        <v>93</v>
      </c>
      <c r="C5" s="2" t="s">
        <v>27</v>
      </c>
      <c r="D5" s="2">
        <v>1</v>
      </c>
      <c r="E5" s="2">
        <v>0</v>
      </c>
      <c r="F5" s="2">
        <f t="shared" si="0"/>
        <v>1</v>
      </c>
      <c r="G5" s="3">
        <f t="shared" si="1"/>
        <v>0</v>
      </c>
      <c r="H5" s="3">
        <v>1</v>
      </c>
      <c r="I5" s="3">
        <v>0.1</v>
      </c>
      <c r="J5" s="9">
        <f t="shared" si="2"/>
        <v>0</v>
      </c>
    </row>
    <row r="6" spans="1:10">
      <c r="A6" s="2">
        <v>4</v>
      </c>
      <c r="B6" s="2" t="s">
        <v>94</v>
      </c>
      <c r="C6" s="2" t="s">
        <v>27</v>
      </c>
      <c r="D6" s="2">
        <v>2</v>
      </c>
      <c r="E6" s="2">
        <v>0</v>
      </c>
      <c r="F6" s="2">
        <f t="shared" si="0"/>
        <v>2</v>
      </c>
      <c r="G6" s="3">
        <f t="shared" si="1"/>
        <v>0</v>
      </c>
      <c r="H6" s="3">
        <v>1</v>
      </c>
      <c r="I6" s="3">
        <v>0.05</v>
      </c>
      <c r="J6" s="9">
        <f t="shared" si="2"/>
        <v>0</v>
      </c>
    </row>
    <row r="7" spans="1:10">
      <c r="A7" s="2">
        <v>5</v>
      </c>
      <c r="B7" s="2" t="s">
        <v>95</v>
      </c>
      <c r="C7" s="2" t="s">
        <v>27</v>
      </c>
      <c r="D7" s="2">
        <v>10</v>
      </c>
      <c r="E7" s="2">
        <v>2</v>
      </c>
      <c r="F7" s="2">
        <f t="shared" si="0"/>
        <v>8</v>
      </c>
      <c r="G7" s="3">
        <f t="shared" si="1"/>
        <v>0.2</v>
      </c>
      <c r="H7" s="3">
        <v>1</v>
      </c>
      <c r="I7" s="3">
        <v>0.02</v>
      </c>
      <c r="J7" s="9">
        <f t="shared" si="2"/>
        <v>4.0000000000000001E-3</v>
      </c>
    </row>
    <row r="8" spans="1:10">
      <c r="A8" s="2">
        <v>6</v>
      </c>
      <c r="B8" s="2" t="s">
        <v>96</v>
      </c>
      <c r="C8" s="2" t="s">
        <v>27</v>
      </c>
      <c r="D8" s="2">
        <v>2</v>
      </c>
      <c r="E8" s="2">
        <v>0</v>
      </c>
      <c r="F8" s="2">
        <f t="shared" si="0"/>
        <v>2</v>
      </c>
      <c r="G8" s="3">
        <f t="shared" si="1"/>
        <v>0</v>
      </c>
      <c r="H8" s="3">
        <v>1</v>
      </c>
      <c r="I8" s="3">
        <v>0.01</v>
      </c>
      <c r="J8" s="9">
        <f t="shared" si="2"/>
        <v>0</v>
      </c>
    </row>
    <row r="9" spans="1:10">
      <c r="A9" s="2">
        <v>7</v>
      </c>
      <c r="B9" s="2" t="s">
        <v>97</v>
      </c>
      <c r="C9" s="2" t="s">
        <v>27</v>
      </c>
      <c r="D9" s="2">
        <v>1</v>
      </c>
      <c r="E9" s="2">
        <v>0</v>
      </c>
      <c r="F9" s="2">
        <f t="shared" si="0"/>
        <v>1</v>
      </c>
      <c r="G9" s="3">
        <f t="shared" si="1"/>
        <v>0</v>
      </c>
      <c r="H9" s="3">
        <v>1</v>
      </c>
      <c r="I9" s="3">
        <v>0.01</v>
      </c>
      <c r="J9" s="9">
        <f t="shared" si="2"/>
        <v>0</v>
      </c>
    </row>
    <row r="10" spans="1:10">
      <c r="A10" s="2">
        <v>8</v>
      </c>
      <c r="B10" s="2" t="s">
        <v>98</v>
      </c>
      <c r="C10" s="2" t="s">
        <v>72</v>
      </c>
      <c r="D10" s="2">
        <v>54000</v>
      </c>
      <c r="E10" s="2">
        <v>45000</v>
      </c>
      <c r="F10" s="2">
        <f t="shared" si="0"/>
        <v>9000</v>
      </c>
      <c r="G10" s="3">
        <f t="shared" si="1"/>
        <v>0.83333333333333337</v>
      </c>
      <c r="H10" s="3">
        <v>1</v>
      </c>
      <c r="I10" s="3">
        <v>0.01</v>
      </c>
      <c r="J10" s="9">
        <f t="shared" si="2"/>
        <v>8.3333333333333332E-3</v>
      </c>
    </row>
    <row r="11" spans="1:10" ht="30">
      <c r="A11" s="2">
        <v>9</v>
      </c>
      <c r="B11" s="2" t="s">
        <v>99</v>
      </c>
      <c r="C11" s="2" t="s">
        <v>100</v>
      </c>
      <c r="D11" s="2">
        <v>540</v>
      </c>
      <c r="E11" s="2">
        <v>500</v>
      </c>
      <c r="F11" s="2">
        <f t="shared" si="0"/>
        <v>40</v>
      </c>
      <c r="G11" s="3">
        <f t="shared" si="1"/>
        <v>0.92592592592592593</v>
      </c>
      <c r="H11" s="3">
        <v>1</v>
      </c>
      <c r="I11" s="3">
        <v>0.01</v>
      </c>
      <c r="J11" s="9">
        <f t="shared" si="2"/>
        <v>9.2592592592592587E-3</v>
      </c>
    </row>
    <row r="12" spans="1:10">
      <c r="A12" s="2">
        <v>10</v>
      </c>
      <c r="B12" s="2" t="s">
        <v>101</v>
      </c>
      <c r="C12" s="2" t="s">
        <v>37</v>
      </c>
      <c r="D12" s="2">
        <v>12000</v>
      </c>
      <c r="E12" s="2">
        <v>4000</v>
      </c>
      <c r="F12" s="2">
        <f t="shared" si="0"/>
        <v>8000</v>
      </c>
      <c r="G12" s="3">
        <f t="shared" si="1"/>
        <v>0.33333333333333331</v>
      </c>
      <c r="H12" s="3">
        <v>1</v>
      </c>
      <c r="I12" s="3">
        <v>0.23</v>
      </c>
      <c r="J12" s="9">
        <f t="shared" si="2"/>
        <v>7.6666666666666661E-2</v>
      </c>
    </row>
    <row r="13" spans="1:10">
      <c r="A13" s="2">
        <v>11</v>
      </c>
      <c r="B13" s="2" t="s">
        <v>102</v>
      </c>
      <c r="C13" s="2" t="s">
        <v>27</v>
      </c>
      <c r="D13" s="2">
        <v>4</v>
      </c>
      <c r="E13" s="2">
        <v>1</v>
      </c>
      <c r="F13" s="2">
        <f t="shared" si="0"/>
        <v>3</v>
      </c>
      <c r="G13" s="3">
        <f t="shared" si="1"/>
        <v>0.25</v>
      </c>
      <c r="H13" s="3">
        <v>1</v>
      </c>
      <c r="I13" s="3">
        <v>0.05</v>
      </c>
      <c r="J13" s="9">
        <f t="shared" si="2"/>
        <v>1.2500000000000001E-2</v>
      </c>
    </row>
    <row r="14" spans="1:10">
      <c r="A14" s="2">
        <v>12</v>
      </c>
      <c r="B14" s="2" t="s">
        <v>103</v>
      </c>
      <c r="C14" s="2" t="s">
        <v>27</v>
      </c>
      <c r="D14" s="2">
        <v>8</v>
      </c>
      <c r="E14" s="2">
        <v>3</v>
      </c>
      <c r="F14" s="2">
        <f t="shared" si="0"/>
        <v>5</v>
      </c>
      <c r="G14" s="3">
        <f t="shared" si="1"/>
        <v>0.375</v>
      </c>
      <c r="H14" s="3">
        <v>1</v>
      </c>
      <c r="I14" s="3">
        <v>0.05</v>
      </c>
      <c r="J14" s="9">
        <f t="shared" si="2"/>
        <v>1.8750000000000003E-2</v>
      </c>
    </row>
    <row r="15" spans="1:10">
      <c r="A15" s="2">
        <v>14</v>
      </c>
      <c r="B15" s="2" t="s">
        <v>104</v>
      </c>
      <c r="C15" s="2" t="s">
        <v>27</v>
      </c>
      <c r="D15" s="2">
        <v>3</v>
      </c>
      <c r="E15" s="2">
        <v>0</v>
      </c>
      <c r="F15" s="2">
        <f t="shared" si="0"/>
        <v>3</v>
      </c>
      <c r="G15" s="3">
        <f t="shared" si="1"/>
        <v>0</v>
      </c>
      <c r="H15" s="3">
        <v>1</v>
      </c>
      <c r="I15" s="3">
        <v>0.05</v>
      </c>
      <c r="J15" s="9">
        <f t="shared" si="2"/>
        <v>0</v>
      </c>
    </row>
    <row r="16" spans="1:10">
      <c r="A16" s="2">
        <v>15</v>
      </c>
      <c r="B16" s="2" t="s">
        <v>105</v>
      </c>
      <c r="C16" s="2" t="s">
        <v>27</v>
      </c>
      <c r="D16" s="2">
        <v>1</v>
      </c>
      <c r="E16" s="2">
        <v>0</v>
      </c>
      <c r="F16" s="2">
        <f t="shared" si="0"/>
        <v>1</v>
      </c>
      <c r="G16" s="3">
        <f t="shared" si="1"/>
        <v>0</v>
      </c>
      <c r="H16" s="3">
        <v>1</v>
      </c>
      <c r="I16" s="3">
        <v>0.15</v>
      </c>
      <c r="J16" s="9">
        <f t="shared" si="2"/>
        <v>0</v>
      </c>
    </row>
    <row r="17" spans="1:10">
      <c r="A17" s="2">
        <v>16</v>
      </c>
      <c r="B17" s="4" t="s">
        <v>106</v>
      </c>
      <c r="C17" s="2" t="s">
        <v>27</v>
      </c>
      <c r="D17" s="2">
        <v>1</v>
      </c>
      <c r="E17" s="2">
        <v>0</v>
      </c>
      <c r="F17" s="2">
        <f t="shared" si="0"/>
        <v>1</v>
      </c>
      <c r="G17" s="3">
        <f t="shared" si="1"/>
        <v>0</v>
      </c>
      <c r="H17" s="3">
        <v>1</v>
      </c>
      <c r="I17" s="3">
        <v>0.1</v>
      </c>
      <c r="J17" s="9">
        <f t="shared" si="2"/>
        <v>0</v>
      </c>
    </row>
    <row r="18" spans="1:10">
      <c r="A18" s="2"/>
      <c r="B18" s="2" t="s">
        <v>42</v>
      </c>
      <c r="C18" s="2"/>
      <c r="D18" s="2"/>
      <c r="E18" s="2"/>
      <c r="F18" s="2"/>
      <c r="G18" s="11"/>
      <c r="H18" s="8"/>
      <c r="I18" s="11">
        <f>SUM(I3:I17)</f>
        <v>1.0000000000000002</v>
      </c>
      <c r="J18" s="8">
        <f>SUM(J3:J17)</f>
        <v>0.13492592592592592</v>
      </c>
    </row>
  </sheetData>
  <phoneticPr fontId="4" type="noConversion"/>
  <conditionalFormatting sqref="G3:G17">
    <cfRule type="dataBar" priority="1">
      <dataBar>
        <cfvo type="min"/>
        <cfvo type="max"/>
        <color rgb="FF34E038"/>
      </dataBar>
      <extLst>
        <ext xmlns:x14="http://schemas.microsoft.com/office/spreadsheetml/2009/9/main" uri="{B025F937-C7B1-47D3-B67F-A62EFF666E3E}">
          <x14:id>{E9BE780D-04F9-4A94-AA56-790EACCD28E0}</x14:id>
        </ext>
      </extLst>
    </cfRule>
  </conditionalFormatting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9BE780D-04F9-4A94-AA56-790EACCD28E0}">
            <x14:dataBar minLength="0" maxLength="100">
              <x14:cfvo type="autoMin"/>
              <x14:cfvo type="autoMax"/>
              <x14:negativeFillColor rgb="FFFF0000"/>
              <x14:axisColor rgb="FF000000"/>
            </x14:dataBar>
          </x14:cfRule>
          <xm:sqref>G3:G17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S&amp;T_Overall</vt:lpstr>
      <vt:lpstr>Indoor_Works</vt:lpstr>
      <vt:lpstr>Outdoor_Works</vt:lpstr>
      <vt:lpstr>Cables </vt:lpstr>
      <vt:lpstr>Telecomm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Vedant Bhavsar</dc:creator>
  <cp:keywords/>
  <dc:description/>
  <cp:lastModifiedBy>Vedant Bhavsar</cp:lastModifiedBy>
  <cp:revision/>
  <dcterms:created xsi:type="dcterms:W3CDTF">2015-06-05T18:17:20Z</dcterms:created>
  <dcterms:modified xsi:type="dcterms:W3CDTF">2026-07-15T12:52:09Z</dcterms:modified>
  <cp:category/>
  <cp:contentStatus/>
</cp:coreProperties>
</file>